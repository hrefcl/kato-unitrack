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Completo" sheetId="1" state="visible" r:id="rId3"/>
    <sheet name="Resumen" sheetId="2" state="visible" r:id="rId4"/>
    <sheet name="Glosario Abreviaturas" sheetId="3" state="visible" r:id="rId5"/>
  </sheets>
  <definedNames>
    <definedName function="false" hidden="true" localSheetId="0" name="_xlnm._FilterDatabase" vbProcedure="false">'Catálogo Completo'!$A$1:$O$331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<sst xmlns="http://schemas.openxmlformats.org/spreadsheetml/2006/main" count="2801" uniqueCount="1490">
  <si>
    <t xml:space="preserve">Item #</t>
  </si>
  <si>
    <t xml:space="preserve">Scale</t>
  </si>
  <si>
    <t xml:space="preserve">Category</t>
  </si>
  <si>
    <t xml:space="preserve">Subcategory</t>
  </si>
  <si>
    <t xml:space="preserve">Product / Line</t>
  </si>
  <si>
    <t xml:space="preserve">Abbreviation</t>
  </si>
  <si>
    <t xml:space="preserve">Length (mm)</t>
  </si>
  <si>
    <t xml:space="preserve">Length (in)</t>
  </si>
  <si>
    <t xml:space="preserve">Radius (mm)</t>
  </si>
  <si>
    <t xml:space="preserve">Angle (°)</t>
  </si>
  <si>
    <t xml:space="preserve">Qty per Pack</t>
  </si>
  <si>
    <t xml:space="preserve">Color / Variant</t>
  </si>
  <si>
    <t xml:space="preserve">Price USD</t>
  </si>
  <si>
    <t xml:space="preserve">Functionality / Description</t>
  </si>
  <si>
    <t xml:space="preserve">PDF Page</t>
  </si>
  <si>
    <t xml:space="preserve">106-0018</t>
  </si>
  <si>
    <t xml:space="preserve">N</t>
  </si>
  <si>
    <t xml:space="preserve">Starter Set</t>
  </si>
  <si>
    <t xml:space="preserve">Passenger</t>
  </si>
  <si>
    <t xml:space="preserve">Santa Fe Super Chief N Scale Starter Set</t>
  </si>
  <si>
    <t xml:space="preserve">1 set</t>
  </si>
  <si>
    <t xml:space="preserve">Complete N-scale starter set: Santa Fe Super Chief locomotive + passenger consist + full oval of Unitrack + Power Pack SX. Layout 1337×677 mm.</t>
  </si>
  <si>
    <t xml:space="preserve">106-0031</t>
  </si>
  <si>
    <t xml:space="preserve">MP36PH + Bi-Level Chicago Metra</t>
  </si>
  <si>
    <t xml:space="preserve">MP36PH commuter locomotive with Bi-Level Metra cars, full Unitrack oval + Power Pack SX.</t>
  </si>
  <si>
    <t xml:space="preserve">106-0032</t>
  </si>
  <si>
    <t xml:space="preserve">F40PH + Bi-Level Chicago Metra Starter Set</t>
  </si>
  <si>
    <t xml:space="preserve">F40PH commuter loco + Bi-Level Metra cars, complete loop + Power Pack.</t>
  </si>
  <si>
    <t xml:space="preserve">106-0037</t>
  </si>
  <si>
    <t xml:space="preserve">F40PH Gallery Bi-Level Car Starter Set - New Metra Paint</t>
  </si>
  <si>
    <t xml:space="preserve">F40PH + Bi-Level gallery cars in new Metra paint, complete loop + Power Pack.</t>
  </si>
  <si>
    <t xml:space="preserve">106-0041</t>
  </si>
  <si>
    <t xml:space="preserve">Silver Streak Zephyr Starter Set</t>
  </si>
  <si>
    <t xml:space="preserve">Silver Streak Zephyr passenger set with Unitrack oval + Power Pack.</t>
  </si>
  <si>
    <t xml:space="preserve">106-0047</t>
  </si>
  <si>
    <t xml:space="preserve">ALC-42 Phase VII, Amtrak Viewliner II Starter Set</t>
  </si>
  <si>
    <t xml:space="preserve">ALC-42</t>
  </si>
  <si>
    <t xml:space="preserve">Amtrak ALC-42 loco + Viewliner II cars, full Unitrack oval + Power Pack.</t>
  </si>
  <si>
    <t xml:space="preserve">106-0048</t>
  </si>
  <si>
    <t xml:space="preserve">SC-44, Amtrak Pacific Surfliner Starter Set</t>
  </si>
  <si>
    <t xml:space="preserve">SC-44</t>
  </si>
  <si>
    <t xml:space="preserve">SC-44 Charger + Pacific Surfliner consist, full Unitrack oval + Power Pack.</t>
  </si>
  <si>
    <t xml:space="preserve">106-0049</t>
  </si>
  <si>
    <t xml:space="preserve">Freight</t>
  </si>
  <si>
    <t xml:space="preserve">F7A Freight Train Starter Set AT&amp;SF</t>
  </si>
  <si>
    <t xml:space="preserve">F7A</t>
  </si>
  <si>
    <t xml:space="preserve">AT&amp;SF</t>
  </si>
  <si>
    <t xml:space="preserve">F7A loco with AT&amp;SF Warbonnet freight consist, full loop + Power Pack.</t>
  </si>
  <si>
    <t xml:space="preserve">106-0050</t>
  </si>
  <si>
    <t xml:space="preserve">F7A Freight Train Starter Set Union Pacific</t>
  </si>
  <si>
    <t xml:space="preserve">UP</t>
  </si>
  <si>
    <t xml:space="preserve">F7A loco with Union Pacific freight consist, full loop + Power Pack.</t>
  </si>
  <si>
    <t xml:space="preserve">106-0051</t>
  </si>
  <si>
    <t xml:space="preserve">F7A Freight Train Starter Set AT&amp;SF Bluebonnet</t>
  </si>
  <si>
    <t xml:space="preserve">AT&amp;SF Bluebonnet</t>
  </si>
  <si>
    <t xml:space="preserve">F7A loco in AT&amp;SF Bluebonnet scheme + freight cars, full loop + Power Pack.</t>
  </si>
  <si>
    <t xml:space="preserve">106-0020</t>
  </si>
  <si>
    <t xml:space="preserve">ES44AC Mixed Freight Starter Set - Canadian National</t>
  </si>
  <si>
    <t xml:space="preserve">ES44AC</t>
  </si>
  <si>
    <t xml:space="preserve">CN</t>
  </si>
  <si>
    <t xml:space="preserve">GE ES44AC + mixed freight cars (hoppers, gondolas, tank cars), full Unitrack oval + Power Pack.</t>
  </si>
  <si>
    <t xml:space="preserve">106-0021</t>
  </si>
  <si>
    <t xml:space="preserve">ES40DC Mixed Freight Starter Set - CSX Boxcar</t>
  </si>
  <si>
    <t xml:space="preserve">ES40DC</t>
  </si>
  <si>
    <t xml:space="preserve">CSX</t>
  </si>
  <si>
    <t xml:space="preserve">GE ES40DC + CSX mixed freight, full Unitrack oval + Power Pack.</t>
  </si>
  <si>
    <t xml:space="preserve">106-0022</t>
  </si>
  <si>
    <t xml:space="preserve">ES44AC Mixed Freight Starter Set - Canadian Pacific</t>
  </si>
  <si>
    <t xml:space="preserve">CP</t>
  </si>
  <si>
    <t xml:space="preserve">GE ES44AC + CP mixed freight, full Unitrack oval + Power Pack.</t>
  </si>
  <si>
    <t xml:space="preserve">106-0023</t>
  </si>
  <si>
    <t xml:space="preserve">ES44AC Mixed Freight Starter Set - Union Pacific</t>
  </si>
  <si>
    <t xml:space="preserve">GE ES44AC + UP mixed freight, full Unitrack oval + Power Pack.</t>
  </si>
  <si>
    <t xml:space="preserve">106-0024</t>
  </si>
  <si>
    <t xml:space="preserve">ES44AC Mixed Freight Starter Set - BNSF Swoosh</t>
  </si>
  <si>
    <t xml:space="preserve">BNSF Swoosh</t>
  </si>
  <si>
    <t xml:space="preserve">GE ES44AC + BNSF Swoosh mixed freight, full Unitrack oval + Power Pack.</t>
  </si>
  <si>
    <t xml:space="preserve">106-0026</t>
  </si>
  <si>
    <t xml:space="preserve">N GE ES44 Mixed Freight Starter Set - Florida East Coast</t>
  </si>
  <si>
    <t xml:space="preserve">ES44</t>
  </si>
  <si>
    <t xml:space="preserve">FEC</t>
  </si>
  <si>
    <t xml:space="preserve">GE ES44 + FEC mixed freight, full Unitrack oval + Power Pack.</t>
  </si>
  <si>
    <t xml:space="preserve">106-0027</t>
  </si>
  <si>
    <t xml:space="preserve">ES44AC Mixed Freight Starter Set - CPKC</t>
  </si>
  <si>
    <t xml:space="preserve">CPKC</t>
  </si>
  <si>
    <t xml:space="preserve">GE ES44AC + CPKC mixed freight, full Unitrack oval + Power Pack.</t>
  </si>
  <si>
    <t xml:space="preserve">20-852</t>
  </si>
  <si>
    <t xml:space="preserve">Master Set</t>
  </si>
  <si>
    <t xml:space="preserve">Track Set</t>
  </si>
  <si>
    <t xml:space="preserve">M1 Basic Oval Track Set</t>
  </si>
  <si>
    <t xml:space="preserve">M1</t>
  </si>
  <si>
    <t xml:space="preserve">Master oval-track set (no train): 4× S248, 1× S124, 1× Road Crossing 124, 1× S62, 1× Feeder S62, 8× R315-45° curves, Power Pack SX, AC adapter, cables, rerailer. Layout 1337×677 mm.</t>
  </si>
  <si>
    <t xml:space="preserve">20-853</t>
  </si>
  <si>
    <t xml:space="preserve">M2 Basic Oval Track and Passing Track Set</t>
  </si>
  <si>
    <t xml:space="preserve">M2</t>
  </si>
  <si>
    <t xml:space="preserve">M1 contents + V1 passing siding set: adds 6× S248, 2× S64, 2× R718-15°, 1× EP718-15L #6 left turnout, 1× EP718-15R right turnout, 2× turnout switches. Layout 2019×751 mm.</t>
  </si>
  <si>
    <t xml:space="preserve">20-860</t>
  </si>
  <si>
    <t xml:space="preserve">V-Series Set</t>
  </si>
  <si>
    <t xml:space="preserve">Expansion</t>
  </si>
  <si>
    <t xml:space="preserve">V1 Mainline Passing Siding Set</t>
  </si>
  <si>
    <t xml:space="preserve">V1</t>
  </si>
  <si>
    <t xml:space="preserve">Add a station and enjoy trains passing/switching: 6× S248, 2× S64, 2× R718-15°, 1× EP718-15L, 1× EP718-15R, 2× turnout switches. 1364×91 mm.</t>
  </si>
  <si>
    <t xml:space="preserve">20-861</t>
  </si>
  <si>
    <t xml:space="preserve">V2 Single Track Viaduct Set</t>
  </si>
  <si>
    <t xml:space="preserve">V2</t>
  </si>
  <si>
    <t xml:space="preserve">Bridge for overhead crossing: 4× S248, 4× S248V, 2× S124V, 8× R315-45V, 1× S248T (truss bridge), Incline Pier Set, 4× Pier #5. 1655×911 mm.</t>
  </si>
  <si>
    <t xml:space="preserve">20-862</t>
  </si>
  <si>
    <t xml:space="preserve">V3 Rail Yard Switching Track Set</t>
  </si>
  <si>
    <t xml:space="preserve">V3</t>
  </si>
  <si>
    <t xml:space="preserve">Sidetrack rail yard set: 6× S248, 2× S186, 2× S64, 3× S62B-A (bumper A), 3× R718-15°, 2× EP718-15L, 1× EP718-15R, 3× turnout switches. 1571×250 mm.</t>
  </si>
  <si>
    <t xml:space="preserve">20-863</t>
  </si>
  <si>
    <t xml:space="preserve">V4 Switching Siding Set</t>
  </si>
  <si>
    <t xml:space="preserve">V4</t>
  </si>
  <si>
    <t xml:space="preserve">Station / signal-tower where trains pass: 4× S248, 2× S62, 2× R481-15°, 1× EP481-15L, 1× EP481-15R, 2× S60L, 2× S60R, 2× turnout switches. 992×58 mm.</t>
  </si>
  <si>
    <t xml:space="preserve">20-864</t>
  </si>
  <si>
    <t xml:space="preserve">V5 Inner Oval Track Set for Starter/M1 Set</t>
  </si>
  <si>
    <t xml:space="preserve">V5</t>
  </si>
  <si>
    <t xml:space="preserve">Inner oval for Starter or M1 (no Power Pack): 4× S248, 1× S124, 1× S124C, 1× S62, 1× S62F (feeder), 8× R282-45°, rerailer, feeder cable. 1271×611 mm.</t>
  </si>
  <si>
    <t xml:space="preserve">20-865</t>
  </si>
  <si>
    <t xml:space="preserve">V6 Outer Oval Track Set for Starter/M1 Set</t>
  </si>
  <si>
    <t xml:space="preserve">V6</t>
  </si>
  <si>
    <t xml:space="preserve">Outer oval for Starter or M1 (no Power Pack): 4× S248, 1× S124, 1× S124C, 1× S62, 1× S62F, 8× R348-45°, rerailer, feeder cable. 1403×743 mm.</t>
  </si>
  <si>
    <t xml:space="preserve">20-866</t>
  </si>
  <si>
    <t xml:space="preserve">V7 Double Crossover Track Set</t>
  </si>
  <si>
    <t xml:space="preserve">V7</t>
  </si>
  <si>
    <t xml:space="preserve">Turnouts + diamond crossover to change trains between two tracks either direction: 1× W×310, 2× S248, 2× S62, 1× turnout switch. 310×58 mm.</t>
  </si>
  <si>
    <t xml:space="preserve">20-870</t>
  </si>
  <si>
    <t xml:space="preserve">Double Track</t>
  </si>
  <si>
    <t xml:space="preserve">V11 Double Track Set R414/381</t>
  </si>
  <si>
    <t xml:space="preserve">V11</t>
  </si>
  <si>
    <t xml:space="preserve">Two trains through banked, superelevated curves: 7× WS248PC, 1× WS124PC, 1× WS62PC, 1× WS62FPC, 8× WR414/381-45PC, 4× WR414/381-22.5PCAL, 4× WR414/381-22.5PCAR. 2335×1261 mm.</t>
  </si>
  <si>
    <t xml:space="preserve">20-871</t>
  </si>
  <si>
    <t xml:space="preserve">Double Track Viaduct</t>
  </si>
  <si>
    <t xml:space="preserve">V12 Double Track Viaduct Set R414/381</t>
  </si>
  <si>
    <t xml:space="preserve">V12</t>
  </si>
  <si>
    <t xml:space="preserve">Take double track ground→viaduct via piers + superelevated curves; includes double-track truss bridge. WS186PC×2, WS124PC×2, WS62PC×1, WS248VPC×6, WS186VPC×1, WS124VPC×2, WS248T×1, WR414/381-22.5VPC×4, WR414/381-22.5VPCAL×2, WR414/381-22.5VPCAR×2, WS186PCINC×2, Double Track Pier Set, Piers for Double Track Viaducts×3, Piers for Truss Bridge×2.</t>
  </si>
  <si>
    <t xml:space="preserve">20-872</t>
  </si>
  <si>
    <t xml:space="preserve">V13 Double Track Elevated Loop Set R414/381</t>
  </si>
  <si>
    <t xml:space="preserve">V13</t>
  </si>
  <si>
    <t xml:space="preserve">Run trains around an elevated loop: 8× WS248VS, 6× WR414/381-45VS, 6× WR414/381-22.5VSAL, 2× WR414/381-22.5VSAR, 18× Double Track Pier, 2× Double Track Viaduct Power Cord. 1864×872 mm.</t>
  </si>
  <si>
    <t xml:space="preserve">20-873</t>
  </si>
  <si>
    <t xml:space="preserve">V14 Double Track Inner Loop Set R315/282</t>
  </si>
  <si>
    <t xml:space="preserve">V14</t>
  </si>
  <si>
    <t xml:space="preserve">Inside V11 for more trains, banked superelevated: 7× WS248PC, 1× WS124PC, 1× WS62PC, 1× WS62FPC, 8× R315/282-45PC, 4× WR315/282-22.5PCAL, 4× WR315/282-22.5PCAR. 1997×1005 mm.</t>
  </si>
  <si>
    <t xml:space="preserve">20-874</t>
  </si>
  <si>
    <t xml:space="preserve">V15 Double Track Set for Station</t>
  </si>
  <si>
    <t xml:space="preserve">V15</t>
  </si>
  <si>
    <t xml:space="preserve">Station platform for double track set: WA310PC-L×1, WA310PC-R×1, S124PC×4, S248PC×4, End Base×2. Extends station with 4× 248 mm straight track.</t>
  </si>
  <si>
    <t xml:space="preserve">20-876</t>
  </si>
  <si>
    <t xml:space="preserve">V16 Double Track Outer Loop Set R480/447</t>
  </si>
  <si>
    <t xml:space="preserve">V16</t>
  </si>
  <si>
    <t xml:space="preserve">Outside loop for V11: 7× ES248PC, 1× WS124PC, 1× ES62PC, 1× WS62FPC, 8× WR480/447-45PC, 4× WR480/447-22.5PCAL, 4× WR480/447-22.5PCAR. 2560×1432 mm.</t>
  </si>
  <si>
    <t xml:space="preserve">20-877</t>
  </si>
  <si>
    <t xml:space="preserve">Slab Track</t>
  </si>
  <si>
    <t xml:space="preserve">V17 Concrete Slab Double Track Oval Set R414/381</t>
  </si>
  <si>
    <t xml:space="preserve">V17</t>
  </si>
  <si>
    <t xml:space="preserve">Concrete-slab loop for urban subway scenes: 4× WS248S, 1× WS124S, 1× WS62S, 1× WS62FS, 6× WR414/381-45S, 2× WR414/381SAL, 2× WR414/381SAR. 1473×753 mm.</t>
  </si>
  <si>
    <t xml:space="preserve">20-000</t>
  </si>
  <si>
    <t xml:space="preserve">Straight Track</t>
  </si>
  <si>
    <t xml:space="preserve">Single</t>
  </si>
  <si>
    <t xml:space="preserve">N Straight Track 248mm</t>
  </si>
  <si>
    <t xml:space="preserve">S248</t>
  </si>
  <si>
    <t xml:space="preserve">9 3/4"</t>
  </si>
  <si>
    <t xml:space="preserve">4 pcs</t>
  </si>
  <si>
    <t xml:space="preserve">Standard 248 mm straight track — the base length of the Unitrack straight system. Black wooden ties.</t>
  </si>
  <si>
    <t xml:space="preserve">20-007</t>
  </si>
  <si>
    <t xml:space="preserve">Concrete-Tie</t>
  </si>
  <si>
    <t xml:space="preserve">N Concrete Tie Straight Track 248mm</t>
  </si>
  <si>
    <t xml:space="preserve">S248PC</t>
  </si>
  <si>
    <t xml:space="preserve">248 mm straight with modern concrete ties for high-speed/modern scenes.</t>
  </si>
  <si>
    <t xml:space="preserve">20-010</t>
  </si>
  <si>
    <t xml:space="preserve">N Straight Track 186mm</t>
  </si>
  <si>
    <t xml:space="preserve">S186</t>
  </si>
  <si>
    <t xml:space="preserve">7 5/16"</t>
  </si>
  <si>
    <t xml:space="preserve">186 mm straight track = 3/4 of S248 length.</t>
  </si>
  <si>
    <t xml:space="preserve">20-020</t>
  </si>
  <si>
    <t xml:space="preserve">N Straight Track 124mm</t>
  </si>
  <si>
    <t xml:space="preserve">S124</t>
  </si>
  <si>
    <t xml:space="preserve">4 7/8"</t>
  </si>
  <si>
    <t xml:space="preserve">124 mm straight track = 1/2 of S248 length.</t>
  </si>
  <si>
    <t xml:space="preserve">20-028</t>
  </si>
  <si>
    <t xml:space="preserve">N Concrete Tie Straight Track 124mm</t>
  </si>
  <si>
    <t xml:space="preserve">S124PC</t>
  </si>
  <si>
    <t xml:space="preserve">124 mm straight with concrete ties.</t>
  </si>
  <si>
    <t xml:space="preserve">20-026</t>
  </si>
  <si>
    <t xml:space="preserve">Re-Railer</t>
  </si>
  <si>
    <t xml:space="preserve">N Re-Railer Track 124mm</t>
  </si>
  <si>
    <t xml:space="preserve">S124RE</t>
  </si>
  <si>
    <t xml:space="preserve">2 pcs</t>
  </si>
  <si>
    <t xml:space="preserve">Re-railer disguised as road crossing — slides derailed cars back onto rails.</t>
  </si>
  <si>
    <t xml:space="preserve">20-027-1</t>
  </si>
  <si>
    <t xml:space="preserve">Crossing/Re-Railer</t>
  </si>
  <si>
    <t xml:space="preserve">N Crossing Gate &amp; Re-Railer Track 124mm</t>
  </si>
  <si>
    <t xml:space="preserve">1 pc</t>
  </si>
  <si>
    <t xml:space="preserve">Functional grade-crossing gate combined with re-railer.</t>
  </si>
  <si>
    <t xml:space="preserve">20-400</t>
  </si>
  <si>
    <t xml:space="preserve">Viaduct Straight</t>
  </si>
  <si>
    <t xml:space="preserve">Viaduct</t>
  </si>
  <si>
    <t xml:space="preserve">N Single Track Viaduct Straight Track 248mm</t>
  </si>
  <si>
    <t xml:space="preserve">S248V</t>
  </si>
  <si>
    <t xml:space="preserve">Elevated straight viaduct track 248 mm; uses S-Joiner with pier products.</t>
  </si>
  <si>
    <t xml:space="preserve">20-410</t>
  </si>
  <si>
    <t xml:space="preserve">N Single Track Viaduct Straight Track 186mm</t>
  </si>
  <si>
    <t xml:space="preserve">S186V</t>
  </si>
  <si>
    <t xml:space="preserve">Elevated straight viaduct track 186 mm.</t>
  </si>
  <si>
    <t xml:space="preserve">20-420</t>
  </si>
  <si>
    <t xml:space="preserve">N Single Track Viaduct Straight Track 124mm</t>
  </si>
  <si>
    <t xml:space="preserve">S124V</t>
  </si>
  <si>
    <t xml:space="preserve">Elevated straight viaduct track 124 mm.</t>
  </si>
  <si>
    <t xml:space="preserve">20-429</t>
  </si>
  <si>
    <t xml:space="preserve">Bridge</t>
  </si>
  <si>
    <t xml:space="preserve">Truss</t>
  </si>
  <si>
    <t xml:space="preserve">N Single Truss Bridge 248mm Reddish Brown</t>
  </si>
  <si>
    <t xml:space="preserve">S248T</t>
  </si>
  <si>
    <t xml:space="preserve">Reddish Brown</t>
  </si>
  <si>
    <t xml:space="preserve">Truss bridge 248 mm. Insert single viaduct (S62V or S124V) each side when connecting to curved viaduct.</t>
  </si>
  <si>
    <t xml:space="preserve">20-430</t>
  </si>
  <si>
    <t xml:space="preserve">N Single Truss Bridge 248mm Red</t>
  </si>
  <si>
    <t xml:space="preserve">Red</t>
  </si>
  <si>
    <t xml:space="preserve">Truss bridge 248 mm, red.</t>
  </si>
  <si>
    <t xml:space="preserve">20-431</t>
  </si>
  <si>
    <t xml:space="preserve">N Single Truss Bridge 248mm Green</t>
  </si>
  <si>
    <t xml:space="preserve">Green</t>
  </si>
  <si>
    <t xml:space="preserve">Truss bridge 248 mm, green.</t>
  </si>
  <si>
    <t xml:space="preserve">20-432</t>
  </si>
  <si>
    <t xml:space="preserve">N Single Truss Bridge 248mm Gray</t>
  </si>
  <si>
    <t xml:space="preserve">Gray</t>
  </si>
  <si>
    <t xml:space="preserve">Truss bridge 248 mm, gray.</t>
  </si>
  <si>
    <t xml:space="preserve">20-433</t>
  </si>
  <si>
    <t xml:space="preserve">N Single Truss Bridge 248mm Silver</t>
  </si>
  <si>
    <t xml:space="preserve">Silver</t>
  </si>
  <si>
    <t xml:space="preserve">Truss bridge 248 mm, silver.</t>
  </si>
  <si>
    <t xml:space="preserve">20-434</t>
  </si>
  <si>
    <t xml:space="preserve">N Single Truss Bridge 248mm Black</t>
  </si>
  <si>
    <t xml:space="preserve">Black</t>
  </si>
  <si>
    <t xml:space="preserve">Truss bridge 248 mm, black.</t>
  </si>
  <si>
    <t xml:space="preserve">20-450</t>
  </si>
  <si>
    <t xml:space="preserve">Plate Girder</t>
  </si>
  <si>
    <t xml:space="preserve">N Single Plate Girder Bridge 186mm Red</t>
  </si>
  <si>
    <t xml:space="preserve">Plate-girder bridge 186 mm, red.</t>
  </si>
  <si>
    <t xml:space="preserve">20-451</t>
  </si>
  <si>
    <t xml:space="preserve">N Single Plate Girder Bridge 186mm Green</t>
  </si>
  <si>
    <t xml:space="preserve">Plate-girder bridge 186 mm, green.</t>
  </si>
  <si>
    <t xml:space="preserve">20-452</t>
  </si>
  <si>
    <t xml:space="preserve">N Single Plate Girder Bridge 186mm Gray</t>
  </si>
  <si>
    <t xml:space="preserve">Plate-girder bridge 186 mm, gray.</t>
  </si>
  <si>
    <t xml:space="preserve">20-453</t>
  </si>
  <si>
    <t xml:space="preserve">N Single Plate Girder Bridge 186mm Silver</t>
  </si>
  <si>
    <t xml:space="preserve">Plate-girder bridge 186 mm, silver.</t>
  </si>
  <si>
    <t xml:space="preserve">20-454</t>
  </si>
  <si>
    <t xml:space="preserve">N Single Plate Girder Bridge 186mm Black</t>
  </si>
  <si>
    <t xml:space="preserve">Plate-girder bridge 186 mm, black.</t>
  </si>
  <si>
    <t xml:space="preserve">20-460</t>
  </si>
  <si>
    <t xml:space="preserve">Deck Girder</t>
  </si>
  <si>
    <t xml:space="preserve">N Deck Girder Bridge 124mm Red</t>
  </si>
  <si>
    <t xml:space="preserve">Deck girder bridge 124 mm, red.</t>
  </si>
  <si>
    <t xml:space="preserve">20-461</t>
  </si>
  <si>
    <t xml:space="preserve">N Deck Girder Bridge 124mm Green</t>
  </si>
  <si>
    <t xml:space="preserve">Deck girder bridge 124 mm, green.</t>
  </si>
  <si>
    <t xml:space="preserve">20-462</t>
  </si>
  <si>
    <t xml:space="preserve">N Deck Girder Bridge 124mm Gray</t>
  </si>
  <si>
    <t xml:space="preserve">Deck girder bridge 124 mm, gray.</t>
  </si>
  <si>
    <t xml:space="preserve">20-464</t>
  </si>
  <si>
    <t xml:space="preserve">N Deck Girder Bridge 124mm Black</t>
  </si>
  <si>
    <t xml:space="preserve">Deck girder bridge 124 mm, black.</t>
  </si>
  <si>
    <t xml:space="preserve">20-015</t>
  </si>
  <si>
    <t xml:space="preserve">Specialty Track</t>
  </si>
  <si>
    <t xml:space="preserve">Pit</t>
  </si>
  <si>
    <t xml:space="preserve">N Ashpit Track 186mm</t>
  </si>
  <si>
    <t xml:space="preserve">Ashpit track 186 mm — for steam-loco service scenes.</t>
  </si>
  <si>
    <t xml:space="preserve">20-016</t>
  </si>
  <si>
    <t xml:space="preserve">N Open Pit Track 186mm</t>
  </si>
  <si>
    <t xml:space="preserve">Open inspection-pit track 186 mm for engine-house scenes.</t>
  </si>
  <si>
    <t xml:space="preserve">20-606-1</t>
  </si>
  <si>
    <t xml:space="preserve">Signal</t>
  </si>
  <si>
    <t xml:space="preserve">Automatic</t>
  </si>
  <si>
    <t xml:space="preserve">N 3-Color Automatic Signal USA 124mm</t>
  </si>
  <si>
    <t xml:space="preserve">3-color (red/yellow/green) automatic signal triggered by train flange contact — requires Automatic Signal Power Supply 24-844.</t>
  </si>
  <si>
    <t xml:space="preserve">20-421</t>
  </si>
  <si>
    <t xml:space="preserve">Signal Viaduct</t>
  </si>
  <si>
    <t xml:space="preserve">N Single Viaduct for Signal 124mm</t>
  </si>
  <si>
    <t xml:space="preserve">Special viaduct with cut-out for signal wire pass-through.</t>
  </si>
  <si>
    <t xml:space="preserve">20-030</t>
  </si>
  <si>
    <t xml:space="preserve">Short</t>
  </si>
  <si>
    <t xml:space="preserve">N Straight Track 64mm</t>
  </si>
  <si>
    <t xml:space="preserve">S64</t>
  </si>
  <si>
    <t xml:space="preserve">2 1/2"</t>
  </si>
  <si>
    <t xml:space="preserve">64 mm straight track — 67.5° angle equivalent for diagonal alignment.</t>
  </si>
  <si>
    <t xml:space="preserve">20-032</t>
  </si>
  <si>
    <t xml:space="preserve">Uncoupler</t>
  </si>
  <si>
    <t xml:space="preserve">N Mag. Uncoupler Track 64mm</t>
  </si>
  <si>
    <t xml:space="preserve">Magnetic uncoupler 64 mm — Magne-Matic compatible.</t>
  </si>
  <si>
    <t xml:space="preserve">20-040</t>
  </si>
  <si>
    <t xml:space="preserve">N Straight Track 62mm</t>
  </si>
  <si>
    <t xml:space="preserve">S62</t>
  </si>
  <si>
    <t xml:space="preserve">2 7/16"</t>
  </si>
  <si>
    <t xml:space="preserve">62 mm straight track = 1/4 of S248.</t>
  </si>
  <si>
    <t xml:space="preserve">20-041</t>
  </si>
  <si>
    <t xml:space="preserve">Feeder Track</t>
  </si>
  <si>
    <t xml:space="preserve">Feeder</t>
  </si>
  <si>
    <t xml:space="preserve">N Feeder Track 62mm</t>
  </si>
  <si>
    <t xml:space="preserve">S62F</t>
  </si>
  <si>
    <t xml:space="preserve">62 mm feeder track — supplies power from Power Pack to rails. Cable 2'9-15/32".</t>
  </si>
  <si>
    <t xml:space="preserve">20-054</t>
  </si>
  <si>
    <t xml:space="preserve">N Concrete Tie Straight Track 62mm</t>
  </si>
  <si>
    <t xml:space="preserve">62 mm straight, concrete ties.</t>
  </si>
  <si>
    <t xml:space="preserve">20-055</t>
  </si>
  <si>
    <t xml:space="preserve">Concrete-Tie Feeder</t>
  </si>
  <si>
    <t xml:space="preserve">N Concrete Tie Feeder Track 62mm</t>
  </si>
  <si>
    <t xml:space="preserve">62 mm concrete-tie feeder.</t>
  </si>
  <si>
    <t xml:space="preserve">20-045</t>
  </si>
  <si>
    <t xml:space="preserve">Conversion</t>
  </si>
  <si>
    <t xml:space="preserve">N Snap-Track Conversion Track 62mm</t>
  </si>
  <si>
    <t xml:space="preserve">Adapter to connect Unitrack to other-brand snap track.</t>
  </si>
  <si>
    <t xml:space="preserve">20-440</t>
  </si>
  <si>
    <t xml:space="preserve">N Single Track Straight Viaduct Track 62mm</t>
  </si>
  <si>
    <t xml:space="preserve">S62V</t>
  </si>
  <si>
    <t xml:space="preserve">62 mm viaduct straight track.</t>
  </si>
  <si>
    <t xml:space="preserve">20-050</t>
  </si>
  <si>
    <t xml:space="preserve">Adjustment Track</t>
  </si>
  <si>
    <t xml:space="preserve">N Expansion Track 78-108mm</t>
  </si>
  <si>
    <t xml:space="preserve">3 to 4 1/4"</t>
  </si>
  <si>
    <t xml:space="preserve">Variable-length 78-108 mm track for closing odd gaps.</t>
  </si>
  <si>
    <t xml:space="preserve">20-091</t>
  </si>
  <si>
    <t xml:space="preserve">Assortment</t>
  </si>
  <si>
    <t xml:space="preserve">N Track Assortment 29mm + 45.5mm</t>
  </si>
  <si>
    <t xml:space="preserve">1 1/8" / 1 3/4"</t>
  </si>
  <si>
    <t xml:space="preserve">8 pcs 29mm + 2 pcs 45.5mm</t>
  </si>
  <si>
    <t xml:space="preserve">Assortment of short adjustment tracks: 8× 29 mm (1 1/8") + 2× 45.5 mm (1 13/16").</t>
  </si>
  <si>
    <t xml:space="preserve">20-092</t>
  </si>
  <si>
    <t xml:space="preserve">Assortment B</t>
  </si>
  <si>
    <t xml:space="preserve">N Adjustment Track Set B: 33mm + 38mm</t>
  </si>
  <si>
    <t xml:space="preserve">1 5/16" / 1 1/2"</t>
  </si>
  <si>
    <t xml:space="preserve">4 pcs each</t>
  </si>
  <si>
    <t xml:space="preserve">Adjustment Set B: 4× 33 mm + 4× 38 mm.</t>
  </si>
  <si>
    <t xml:space="preserve">20-046</t>
  </si>
  <si>
    <t xml:space="preserve">Bumper Track</t>
  </si>
  <si>
    <t xml:space="preserve">Type A</t>
  </si>
  <si>
    <t xml:space="preserve">N Bumper Type A 62mm</t>
  </si>
  <si>
    <t xml:space="preserve">Bumper Track A — concrete block style, 62 mm.</t>
  </si>
  <si>
    <t xml:space="preserve">20-047</t>
  </si>
  <si>
    <t xml:space="preserve">Type B</t>
  </si>
  <si>
    <t xml:space="preserve">N Bumper Type B 62mm</t>
  </si>
  <si>
    <t xml:space="preserve">Bumper Track B — ballast style, 62 mm.</t>
  </si>
  <si>
    <t xml:space="preserve">20-048</t>
  </si>
  <si>
    <t xml:space="preserve">Type C</t>
  </si>
  <si>
    <t xml:space="preserve">N Bumper Type C 50.5mm</t>
  </si>
  <si>
    <t xml:space="preserve">2"</t>
  </si>
  <si>
    <t xml:space="preserve">Bumper Track C — frame style, 50.5 mm; combine with 45 mm assortment piece to match length of A/B.</t>
  </si>
  <si>
    <t xml:space="preserve">20-060</t>
  </si>
  <si>
    <t xml:space="preserve">Type D</t>
  </si>
  <si>
    <t xml:space="preserve">N Bumper Type D 35mm</t>
  </si>
  <si>
    <t xml:space="preserve">1 3/8"</t>
  </si>
  <si>
    <t xml:space="preserve">Bumper Track D — bent-rail style, 35 mm.</t>
  </si>
  <si>
    <t xml:space="preserve">20-063</t>
  </si>
  <si>
    <t xml:space="preserve">Illuminated A</t>
  </si>
  <si>
    <t xml:space="preserve">N Illuminated Bumper Track Type A 66mm</t>
  </si>
  <si>
    <t xml:space="preserve">2 5/8"</t>
  </si>
  <si>
    <t xml:space="preserve">Illuminated bumper A — lights turn on when track is powered.</t>
  </si>
  <si>
    <t xml:space="preserve">20-064</t>
  </si>
  <si>
    <t xml:space="preserve">Illuminated B</t>
  </si>
  <si>
    <t xml:space="preserve">N Illuminated Bumper Track Type B 66mm</t>
  </si>
  <si>
    <t xml:space="preserve">Illuminated bumper B — lights when powered.</t>
  </si>
  <si>
    <t xml:space="preserve">20-652-1</t>
  </si>
  <si>
    <t xml:space="preserve">Crossing</t>
  </si>
  <si>
    <t xml:space="preserve">N North American Style Automatic Crossing Gate 124mm</t>
  </si>
  <si>
    <t xml:space="preserve">Fully automated crossing with blinking lights, sound (4 selectable types, adjustable volume), gate motion. Infrared sensor works even when track is unpowered. DCC-friendly. Includes crossing + 2 sensor tracks (62 mm total) + AC adapter.</t>
  </si>
  <si>
    <t xml:space="preserve">20-653</t>
  </si>
  <si>
    <t xml:space="preserve">Double Track Add-on</t>
  </si>
  <si>
    <t xml:space="preserve">N Double Track Attachment Set for Automatic Crossing Gate</t>
  </si>
  <si>
    <t xml:space="preserve">Expand automatic crossing up to 3 double tracks (6 tracks). Includes crossing × 1 + sensor tracks × 2, 33 × 124 mm.</t>
  </si>
  <si>
    <t xml:space="preserve">20-654</t>
  </si>
  <si>
    <t xml:space="preserve">Cable</t>
  </si>
  <si>
    <t xml:space="preserve">Sensor Track Extension Cable [1 yd] for 20-652-1</t>
  </si>
  <si>
    <t xml:space="preserve">Extension cable for the crossing-gate sensor track.</t>
  </si>
  <si>
    <t xml:space="preserve">23-015</t>
  </si>
  <si>
    <t xml:space="preserve">Pier</t>
  </si>
  <si>
    <t xml:space="preserve">Pier Set</t>
  </si>
  <si>
    <t xml:space="preserve">N Pier Set No 1 - No 5 (2 each)</t>
  </si>
  <si>
    <t xml:space="preserve">10 pcs</t>
  </si>
  <si>
    <t xml:space="preserve">2 each of piers #1-#5 for graduated inclines.</t>
  </si>
  <si>
    <t xml:space="preserve">23-016</t>
  </si>
  <si>
    <t xml:space="preserve">Gradual Incline</t>
  </si>
  <si>
    <t xml:space="preserve">N Gradual Incline Pier Set</t>
  </si>
  <si>
    <t xml:space="preserve">Piers for gradual inclines, combined with Pier Basic Set.</t>
  </si>
  <si>
    <t xml:space="preserve">23-017</t>
  </si>
  <si>
    <t xml:space="preserve">Standard</t>
  </si>
  <si>
    <t xml:space="preserve">N Pier w/ S-Joiner &amp; S-Clip 50mm</t>
  </si>
  <si>
    <t xml:space="preserve">5 pcs</t>
  </si>
  <si>
    <t xml:space="preserve">Standard-height piers (50 mm / 2") for viaduct sections.</t>
  </si>
  <si>
    <t xml:space="preserve">23-047</t>
  </si>
  <si>
    <t xml:space="preserve">Bridge Pier #5</t>
  </si>
  <si>
    <t xml:space="preserve">Single Track Bridge Pier #5 50mm</t>
  </si>
  <si>
    <t xml:space="preserve">Oval-shaped bridge piers for rivers/streams. Made for Single Deck Girder Bridge but works with others.</t>
  </si>
  <si>
    <t xml:space="preserve">23-068</t>
  </si>
  <si>
    <t xml:space="preserve">Raising Kit</t>
  </si>
  <si>
    <t xml:space="preserve">N Pier Raising Kit with Trapezoid Shape</t>
  </si>
  <si>
    <t xml:space="preserve">5 pairs</t>
  </si>
  <si>
    <t xml:space="preserve">3-component raising piers (upper/lower expansion + pedestal). Adds 90 mm / 110 mm height to Pier #5.</t>
  </si>
  <si>
    <t xml:space="preserve">23-069</t>
  </si>
  <si>
    <t xml:space="preserve">Raising Kit (50mm)</t>
  </si>
  <si>
    <t xml:space="preserve">N Pier Raising Kit with Trapezoid Shape 50mm</t>
  </si>
  <si>
    <t xml:space="preserve">Trapezoid raising piers fitted to Single Deck Girder Bridge — 5 inspection-deck parts + 5 catenary pedestals.</t>
  </si>
  <si>
    <t xml:space="preserve">24-817</t>
  </si>
  <si>
    <t xml:space="preserve">Joiner</t>
  </si>
  <si>
    <t xml:space="preserve">S-Joiner</t>
  </si>
  <si>
    <t xml:space="preserve">N S-Joiner</t>
  </si>
  <si>
    <t xml:space="preserve">20 pcs</t>
  </si>
  <si>
    <t xml:space="preserve">S-Joiner for bridges, piers, viaducts — secure connection at bridge ends.</t>
  </si>
  <si>
    <t xml:space="preserve">24-844</t>
  </si>
  <si>
    <t xml:space="preserve">Acc</t>
  </si>
  <si>
    <t xml:space="preserve">Power</t>
  </si>
  <si>
    <t xml:space="preserve">Signal Power Supply</t>
  </si>
  <si>
    <t xml:space="preserve">Automatic Signal Power Supply</t>
  </si>
  <si>
    <t xml:space="preserve">Power supply for up to 3 automatic signals via color-matched connectors.</t>
  </si>
  <si>
    <t xml:space="preserve">24-845</t>
  </si>
  <si>
    <t xml:space="preserve">Signal Extension</t>
  </si>
  <si>
    <t xml:space="preserve">Signal Extension Cord 1yd</t>
  </si>
  <si>
    <t xml:space="preserve">90 cm extension for the signal/power-supply cable.</t>
  </si>
  <si>
    <t xml:space="preserve">24-829BK</t>
  </si>
  <si>
    <t xml:space="preserve">Accessory Adapter</t>
  </si>
  <si>
    <t xml:space="preserve">Accessory Adapter for Power Pack Black 22-014</t>
  </si>
  <si>
    <t xml:space="preserve">Adapter to draw power for automatic signal from side terminal of Power Pack.</t>
  </si>
  <si>
    <t xml:space="preserve">20-176</t>
  </si>
  <si>
    <t xml:space="preserve">Curved Track</t>
  </si>
  <si>
    <t xml:space="preserve">Compact</t>
  </si>
  <si>
    <t xml:space="preserve">N Compact Curve Track R117mm 45°</t>
  </si>
  <si>
    <t xml:space="preserve">R117-45</t>
  </si>
  <si>
    <t xml:space="preserve">UNITRACK Compact ultra-tight curve R117 mm 45°. ONLY for UNITRAM Pocket Line and similar small-motor trains.</t>
  </si>
  <si>
    <t xml:space="preserve">20-174</t>
  </si>
  <si>
    <t xml:space="preserve">N Compact Curve Track R150mm 45°</t>
  </si>
  <si>
    <t xml:space="preserve">R150-45</t>
  </si>
  <si>
    <t xml:space="preserve">UNITRACK Compact curve R150 mm 45°. Compact-compatible trains only.</t>
  </si>
  <si>
    <t xml:space="preserve">20-172</t>
  </si>
  <si>
    <t xml:space="preserve">N Compact Curve Track R183mm 45°</t>
  </si>
  <si>
    <t xml:space="preserve">R183-45</t>
  </si>
  <si>
    <t xml:space="preserve">UNITRACK Compact curve R183 mm 45°.</t>
  </si>
  <si>
    <t xml:space="preserve">20-170</t>
  </si>
  <si>
    <t xml:space="preserve">N Curved Track R216mm 45°</t>
  </si>
  <si>
    <t xml:space="preserve">R216-45</t>
  </si>
  <si>
    <t xml:space="preserve">Curve R216 mm 45°. Smallest standard curve.</t>
  </si>
  <si>
    <t xml:space="preserve">20-171</t>
  </si>
  <si>
    <t xml:space="preserve">N Curved Track R216mm 15°</t>
  </si>
  <si>
    <t xml:space="preserve">R216-15</t>
  </si>
  <si>
    <t xml:space="preserve">Curve R216 mm 15°.</t>
  </si>
  <si>
    <t xml:space="preserve">20-100</t>
  </si>
  <si>
    <t xml:space="preserve">N Curved Track R249mm 45°</t>
  </si>
  <si>
    <t xml:space="preserve">R249-45</t>
  </si>
  <si>
    <t xml:space="preserve">Curve R249 mm 45°. Two of these parallel = double-track span adjustable 33-49.5 mm.</t>
  </si>
  <si>
    <t xml:space="preserve">20-101</t>
  </si>
  <si>
    <t xml:space="preserve">N Curved Track R249mm 15°</t>
  </si>
  <si>
    <t xml:space="preserve">R249-15</t>
  </si>
  <si>
    <t xml:space="preserve">Curve R249 mm 15°.</t>
  </si>
  <si>
    <t xml:space="preserve">20-110</t>
  </si>
  <si>
    <t xml:space="preserve">N Curved Track R282mm 45°</t>
  </si>
  <si>
    <t xml:space="preserve">R282-45</t>
  </si>
  <si>
    <t xml:space="preserve">Curve R282 mm 45°.</t>
  </si>
  <si>
    <t xml:space="preserve">20-111</t>
  </si>
  <si>
    <t xml:space="preserve">N Curved Track R282mm 15°</t>
  </si>
  <si>
    <t xml:space="preserve">R282-15</t>
  </si>
  <si>
    <t xml:space="preserve">Curve R282 mm 15°.</t>
  </si>
  <si>
    <t xml:space="preserve">20-120</t>
  </si>
  <si>
    <t xml:space="preserve">N Curved Track R315mm 45°</t>
  </si>
  <si>
    <t xml:space="preserve">R315-45</t>
  </si>
  <si>
    <t xml:space="preserve">Curve R315 mm 45° — BASE radius of all UNITRACK curves; included in Starter / Master sets.</t>
  </si>
  <si>
    <t xml:space="preserve">20-121</t>
  </si>
  <si>
    <t xml:space="preserve">N Curved Track R315mm 15°</t>
  </si>
  <si>
    <t xml:space="preserve">R315-15</t>
  </si>
  <si>
    <t xml:space="preserve">Curve R315 mm 15°.</t>
  </si>
  <si>
    <t xml:space="preserve">20-130</t>
  </si>
  <si>
    <t xml:space="preserve">N Curved Track R348mm 30°</t>
  </si>
  <si>
    <t xml:space="preserve">R348-30</t>
  </si>
  <si>
    <t xml:space="preserve">Curve R348 mm 30° — more realistic look for N-scale, suits high-speed trains like ACS-64.</t>
  </si>
  <si>
    <t xml:space="preserve">20-132</t>
  </si>
  <si>
    <t xml:space="preserve">N Curved Track R348mm 45°</t>
  </si>
  <si>
    <t xml:space="preserve">R348-45</t>
  </si>
  <si>
    <t xml:space="preserve">Curve R348 mm 45°.</t>
  </si>
  <si>
    <t xml:space="preserve">20-140</t>
  </si>
  <si>
    <t xml:space="preserve">N Curved Track R381mm 30°</t>
  </si>
  <si>
    <t xml:space="preserve">R381-30</t>
  </si>
  <si>
    <t xml:space="preserve">Curve R381 mm 30° — wider curves for prototypical operation.</t>
  </si>
  <si>
    <t xml:space="preserve">20-150</t>
  </si>
  <si>
    <t xml:space="preserve">N Curved Track R718mm 15°</t>
  </si>
  <si>
    <t xml:space="preserve">R718-15</t>
  </si>
  <si>
    <t xml:space="preserve">Support curve for #6 turnouts (EP718-15L/R). Use for transition curves or very-wide-radius curves.</t>
  </si>
  <si>
    <t xml:space="preserve">20-160</t>
  </si>
  <si>
    <t xml:space="preserve">N Curved Track R481mm 15°</t>
  </si>
  <si>
    <t xml:space="preserve">R481-15</t>
  </si>
  <si>
    <t xml:space="preserve">Support curve for #4 turnouts (EP481-15L/R). Also for transition curves; lets parallel-track spacing change from 33 to 66 mm.</t>
  </si>
  <si>
    <t xml:space="preserve">20-505</t>
  </si>
  <si>
    <t xml:space="preserve">N Single Track Curved Viaduct R249mm 45°</t>
  </si>
  <si>
    <t xml:space="preserve">R249-45V</t>
  </si>
  <si>
    <t xml:space="preserve">Curved viaduct R249 mm 45°. Lets you elevate layouts in 45° steps.</t>
  </si>
  <si>
    <t xml:space="preserve">20-510</t>
  </si>
  <si>
    <t xml:space="preserve">N Single Track Curved Viaduct R282mm 45°</t>
  </si>
  <si>
    <t xml:space="preserve">R282-45V</t>
  </si>
  <si>
    <t xml:space="preserve">Curved viaduct R282 mm 45°.</t>
  </si>
  <si>
    <t xml:space="preserve">20-520</t>
  </si>
  <si>
    <t xml:space="preserve">N Single Track Curved Viaduct R315mm 45°</t>
  </si>
  <si>
    <t xml:space="preserve">R315-45V</t>
  </si>
  <si>
    <t xml:space="preserve">Curved viaduct R315 mm 45°.</t>
  </si>
  <si>
    <t xml:space="preserve">20-530</t>
  </si>
  <si>
    <t xml:space="preserve">N Single Track Curved Viaduct R348mm 45°</t>
  </si>
  <si>
    <t xml:space="preserve">R348-45V</t>
  </si>
  <si>
    <t xml:space="preserve">Curved viaduct R348 mm 45°. Use Pier #5 50 mm and Incline Pier Sets to support.</t>
  </si>
  <si>
    <t xml:space="preserve">20-531</t>
  </si>
  <si>
    <t xml:space="preserve">N Single Track Curved Viaduct R348mm 30°</t>
  </si>
  <si>
    <t xml:space="preserve">R348-30V</t>
  </si>
  <si>
    <t xml:space="preserve">Curved viaduct R348 mm 30° — realistic look for high-speed.</t>
  </si>
  <si>
    <t xml:space="preserve">20-540</t>
  </si>
  <si>
    <t xml:space="preserve">N Single Track Curved Viaduct R381mm 30°</t>
  </si>
  <si>
    <t xml:space="preserve">R381-30V</t>
  </si>
  <si>
    <t xml:space="preserve">Curved viaduct R381 mm 30°.</t>
  </si>
  <si>
    <t xml:space="preserve">20-465</t>
  </si>
  <si>
    <t xml:space="preserve">Deck Girder Curve</t>
  </si>
  <si>
    <t xml:space="preserve">N Deck Girder Curve Bridge R448-15° Red</t>
  </si>
  <si>
    <t xml:space="preserve">R448-15ST</t>
  </si>
  <si>
    <t xml:space="preserve">Curved deck-girder bridge R448 mm 15°. Use with Cone-shape Pier #5, Conic Pier Kit, Warren Brace Catenary.</t>
  </si>
  <si>
    <t xml:space="preserve">20-466</t>
  </si>
  <si>
    <t xml:space="preserve">N Deck Girder Curve Bridge R448-15° Green</t>
  </si>
  <si>
    <t xml:space="preserve">Curved deck-girder bridge R448 mm 15°, green.</t>
  </si>
  <si>
    <t xml:space="preserve">20-467</t>
  </si>
  <si>
    <t xml:space="preserve">N Deck Girder Curve Bridge R448-15° Gray</t>
  </si>
  <si>
    <t xml:space="preserve">Curved deck-girder bridge R448 mm 15°, gray.</t>
  </si>
  <si>
    <t xml:space="preserve">20-470</t>
  </si>
  <si>
    <t xml:space="preserve">N Deck Girder Curve Bridge R481-15° Red</t>
  </si>
  <si>
    <t xml:space="preserve">R481-15ST</t>
  </si>
  <si>
    <t xml:space="preserve">Curved deck-girder bridge R481 mm 15°, red.</t>
  </si>
  <si>
    <t xml:space="preserve">20-471</t>
  </si>
  <si>
    <t xml:space="preserve">N Deck Girder Curve Bridge R481-15° Green</t>
  </si>
  <si>
    <t xml:space="preserve">Curved deck-girder bridge R481 mm 15°, green.</t>
  </si>
  <si>
    <t xml:space="preserve">20-472</t>
  </si>
  <si>
    <t xml:space="preserve">N Deck Girder Curve Bridge R481-15° Gray</t>
  </si>
  <si>
    <t xml:space="preserve">Curved deck-girder bridge R481 mm 15°, gray.</t>
  </si>
  <si>
    <t xml:space="preserve">20-823</t>
  </si>
  <si>
    <t xml:space="preserve">Bridge Set</t>
  </si>
  <si>
    <t xml:space="preserve">Curve Bridge</t>
  </si>
  <si>
    <t xml:space="preserve">Curve Bridge Set R448-60° Green</t>
  </si>
  <si>
    <t xml:space="preserve">Complete curved-bridge set: 4× R448-15° green deck-girder + 5× Cone Pier #5 + 12× Warren Brace catenary poles.</t>
  </si>
  <si>
    <t xml:space="preserve">20-824</t>
  </si>
  <si>
    <t xml:space="preserve">Curve Bridge Set R481-60° Red</t>
  </si>
  <si>
    <t xml:space="preserve">Curve Bridge Set R481-60°: 4× R481-15° red deck-girder + 5× Cone Pier #5 + 2× 1/2 Joiner.</t>
  </si>
  <si>
    <t xml:space="preserve">20-202</t>
  </si>
  <si>
    <t xml:space="preserve">Turnout</t>
  </si>
  <si>
    <t xml:space="preserve">#6 Electric</t>
  </si>
  <si>
    <t xml:space="preserve">N #6 Left Turnout with 718mm Radius Curve</t>
  </si>
  <si>
    <t xml:space="preserve">EP718-15L</t>
  </si>
  <si>
    <t xml:space="preserve">Electric #6 left turnout, 718 mm radius branch. Needs Turnout Control Switch 24-840.</t>
  </si>
  <si>
    <t xml:space="preserve">20-203</t>
  </si>
  <si>
    <t xml:space="preserve">N #6 Right Turnout with 718mm Radius Curve</t>
  </si>
  <si>
    <t xml:space="preserve">EP718-15R</t>
  </si>
  <si>
    <t xml:space="preserve">Electric #6 right turnout, 718 mm radius branch.</t>
  </si>
  <si>
    <t xml:space="preserve">20-220</t>
  </si>
  <si>
    <t xml:space="preserve">#4 Electric</t>
  </si>
  <si>
    <t xml:space="preserve">N #4 Left Turnout with 481mm Radius Curve</t>
  </si>
  <si>
    <t xml:space="preserve">EP481-15L</t>
  </si>
  <si>
    <t xml:space="preserve">Electric #4 left turnout, 481 mm radius branch.</t>
  </si>
  <si>
    <t xml:space="preserve">20-221</t>
  </si>
  <si>
    <t xml:space="preserve">N #4 Right Turnout with 481mm Radius Curve</t>
  </si>
  <si>
    <t xml:space="preserve">EP481-15R</t>
  </si>
  <si>
    <t xml:space="preserve">Electric #4 right turnout, 481 mm radius branch.</t>
  </si>
  <si>
    <t xml:space="preserve">20-222</t>
  </si>
  <si>
    <t xml:space="preserve">Wye Electric</t>
  </si>
  <si>
    <t xml:space="preserve">N #2 Electric Wye Turnout with 481mm Radius Curves</t>
  </si>
  <si>
    <t xml:space="preserve">Electric Wye turnout — both branches curve, 481 mm radius.</t>
  </si>
  <si>
    <t xml:space="preserve">20-210</t>
  </si>
  <si>
    <t xml:space="preserve">Crossover</t>
  </si>
  <si>
    <t xml:space="preserve">Double</t>
  </si>
  <si>
    <t xml:space="preserve">N Double Crossover Track 310mm</t>
  </si>
  <si>
    <t xml:space="preserve">W×310</t>
  </si>
  <si>
    <t xml:space="preserve">12 3/16"</t>
  </si>
  <si>
    <t xml:space="preserve">Double crossover (4 turnouts + diamond) in one unit, 310 mm long.</t>
  </si>
  <si>
    <t xml:space="preserve">20-320</t>
  </si>
  <si>
    <t xml:space="preserve">90°</t>
  </si>
  <si>
    <t xml:space="preserve">N 90° Crossing</t>
  </si>
  <si>
    <t xml:space="preserve">90° rail crossing.</t>
  </si>
  <si>
    <t xml:space="preserve">20-300</t>
  </si>
  <si>
    <t xml:space="preserve">15° Left</t>
  </si>
  <si>
    <t xml:space="preserve">N 15° ×-Track Left 186mm</t>
  </si>
  <si>
    <t xml:space="preserve">15° crossing track, left, 186 mm.</t>
  </si>
  <si>
    <t xml:space="preserve">20-301</t>
  </si>
  <si>
    <t xml:space="preserve">15° Right</t>
  </si>
  <si>
    <t xml:space="preserve">N 15° ×-Track Right 186mm</t>
  </si>
  <si>
    <t xml:space="preserve">15° crossing track, right, 186 mm.</t>
  </si>
  <si>
    <t xml:space="preserve">20-230</t>
  </si>
  <si>
    <t xml:space="preserve">Double-Track Single Crossover</t>
  </si>
  <si>
    <t xml:space="preserve">N Double Track Single Crossover #4 Turnout Left 248mm</t>
  </si>
  <si>
    <t xml:space="preserve">Double-track single-crossover turnout (left) 248 mm.</t>
  </si>
  <si>
    <t xml:space="preserve">20-231</t>
  </si>
  <si>
    <t xml:space="preserve">N Double Track Single Crossover #4 Turnout Right 248mm</t>
  </si>
  <si>
    <t xml:space="preserve">Double-track single-crossover turnout (right) 248 mm.</t>
  </si>
  <si>
    <t xml:space="preserve">20-283</t>
  </si>
  <si>
    <t xml:space="preserve">Turntable</t>
  </si>
  <si>
    <t xml:space="preserve">Electric</t>
  </si>
  <si>
    <t xml:space="preserve">N Electric Turntable</t>
  </si>
  <si>
    <t xml:space="preserve">Electric turntable, 12 mm low-depth profile, 217 mm outer diam, 160 mm bridge. Smooth slowdown; fits 10° spans for Roundhouse 23-240. Includes turntable, controller, AC adapter + cable, 4× straight expansion + 2× approach + 6× bumper rails.</t>
  </si>
  <si>
    <t xml:space="preserve">20-287</t>
  </si>
  <si>
    <t xml:space="preserve">N Turntable Extension Cable 150cm</t>
  </si>
  <si>
    <t xml:space="preserve">1 yd 2/3</t>
  </si>
  <si>
    <t xml:space="preserve">Turntable controller→turntable cable 1.5 m.</t>
  </si>
  <si>
    <t xml:space="preserve">20-285</t>
  </si>
  <si>
    <t xml:space="preserve">Extension</t>
  </si>
  <si>
    <t xml:space="preserve">N Turntable Extension Track Set (Straight)</t>
  </si>
  <si>
    <t xml:space="preserve">3× straight expansion + 2× approach + 3× bumper rails + half joiners (regular + insulated) for radial yard.</t>
  </si>
  <si>
    <t xml:space="preserve">20-286</t>
  </si>
  <si>
    <t xml:space="preserve">N Turntable Extension Track Set (Curve)</t>
  </si>
  <si>
    <t xml:space="preserve">Curved expansion tracks (33 mm spacing) for use with Wood 2-Stall Engine House 23-229. Includes R381-15° L+R, R381mm-15° L+R, S62, approach tracks, joiners.</t>
  </si>
  <si>
    <t xml:space="preserve">20-284</t>
  </si>
  <si>
    <t xml:space="preserve">Feeder Kit</t>
  </si>
  <si>
    <t xml:space="preserve">N Extension Track Feeder Kit</t>
  </si>
  <si>
    <t xml:space="preserve">Power feeder kit for turntable extension tracks — pins, lid, screws, cables for L/R bottom collection.</t>
  </si>
  <si>
    <t xml:space="preserve">24-850BK</t>
  </si>
  <si>
    <t xml:space="preserve">Switch</t>
  </si>
  <si>
    <t xml:space="preserve">Power Feed Control</t>
  </si>
  <si>
    <t xml:space="preserve">Power Feed Control Switch Black</t>
  </si>
  <si>
    <t xml:space="preserve">On/off switch for separate rail yards via insulated Unijoiners + turntable extension tracks.</t>
  </si>
  <si>
    <t xml:space="preserve">24-851BK</t>
  </si>
  <si>
    <t xml:space="preserve">Power Direction Control</t>
  </si>
  <si>
    <t xml:space="preserve">Power Direction Control Switch Black</t>
  </si>
  <si>
    <t xml:space="preserve">Switch to change polarity of feeder track — reversing loops.</t>
  </si>
  <si>
    <t xml:space="preserve">23-240</t>
  </si>
  <si>
    <t xml:space="preserve">Building</t>
  </si>
  <si>
    <t xml:space="preserve">Roundhouse</t>
  </si>
  <si>
    <t xml:space="preserve">N Roundhouse Kit</t>
  </si>
  <si>
    <t xml:space="preserve">1 kit</t>
  </si>
  <si>
    <t xml:space="preserve">Roundhouse kit with stickers — pairs with Electric Turntable 20-283.</t>
  </si>
  <si>
    <t xml:space="preserve">20-004</t>
  </si>
  <si>
    <t xml:space="preserve">Straight</t>
  </si>
  <si>
    <t xml:space="preserve">N Double Track Straight 248mm</t>
  </si>
  <si>
    <t xml:space="preserve">WS248PC</t>
  </si>
  <si>
    <t xml:space="preserve">Double-track straight 248 mm with concrete ties — base length of double-track straights.</t>
  </si>
  <si>
    <t xml:space="preserve">20-012</t>
  </si>
  <si>
    <t xml:space="preserve">N Double Track Straight 186mm</t>
  </si>
  <si>
    <t xml:space="preserve">WS186PC</t>
  </si>
  <si>
    <t xml:space="preserve">Double-track straight 186 mm concrete-tie (3/4 of WS248PC).</t>
  </si>
  <si>
    <t xml:space="preserve">20-023</t>
  </si>
  <si>
    <t xml:space="preserve">N Concrete-tie Double Track Straight 124mm</t>
  </si>
  <si>
    <t xml:space="preserve">WS124PC</t>
  </si>
  <si>
    <t xml:space="preserve">Double-track straight 124 mm concrete-tie (1/2 of WS248PC).</t>
  </si>
  <si>
    <t xml:space="preserve">20-042</t>
  </si>
  <si>
    <t xml:space="preserve">N Double Straight Track Concrete-tie 62mm</t>
  </si>
  <si>
    <t xml:space="preserve">WS62PC</t>
  </si>
  <si>
    <t xml:space="preserve">Double-track straight 62 mm concrete-tie.</t>
  </si>
  <si>
    <t xml:space="preserve">20-043</t>
  </si>
  <si>
    <t xml:space="preserve">N Double S. Track &amp; Feeder Track Concrete-tie 62mm</t>
  </si>
  <si>
    <t xml:space="preserve">WS62FPC</t>
  </si>
  <si>
    <t xml:space="preserve">Double-track 62 mm with feeder. Cable length 2'9-15/32".</t>
  </si>
  <si>
    <t xml:space="preserve">20-051</t>
  </si>
  <si>
    <t xml:space="preserve">Widening Left</t>
  </si>
  <si>
    <t xml:space="preserve">N CT Double Track Widening Section Left 310mm</t>
  </si>
  <si>
    <t xml:space="preserve">WA310PC-L</t>
  </si>
  <si>
    <t xml:space="preserve">12 1/5"</t>
  </si>
  <si>
    <t xml:space="preserve">Widens double-track spacing from 33 mm to 66 mm (left) for island platforms. 310 mm.</t>
  </si>
  <si>
    <t xml:space="preserve">20-052</t>
  </si>
  <si>
    <t xml:space="preserve">Widening Right</t>
  </si>
  <si>
    <t xml:space="preserve">N CT Double Track Widening Section Right 310mm</t>
  </si>
  <si>
    <t xml:space="preserve">WA310PC-R</t>
  </si>
  <si>
    <t xml:space="preserve">Widens double-track spacing 33→66 mm (right). 310 mm.</t>
  </si>
  <si>
    <t xml:space="preserve">20-875</t>
  </si>
  <si>
    <t xml:space="preserve">Single Extension</t>
  </si>
  <si>
    <t xml:space="preserve">N Concrete-tie Single Track Extension 248mm</t>
  </si>
  <si>
    <t xml:space="preserve">Extends straight section in island-platform station — also serves as single concrete-tie straight.</t>
  </si>
  <si>
    <t xml:space="preserve">20-185</t>
  </si>
  <si>
    <t xml:space="preserve">Superelevated Curve</t>
  </si>
  <si>
    <t xml:space="preserve">N Double Track Curved Track R480/447 -45°</t>
  </si>
  <si>
    <t xml:space="preserve">WR480/447-45PC</t>
  </si>
  <si>
    <t xml:space="preserve">Double-track superelevated curve R480/447 mm × 45°. Creates 3 double tracks (6 tracks) with 45° separation when used with R414/381 + R315/282 sets.</t>
  </si>
  <si>
    <t xml:space="preserve">20-181</t>
  </si>
  <si>
    <t xml:space="preserve">N Double Track Superelevated Curved R414/381 -45°</t>
  </si>
  <si>
    <t xml:space="preserve">WR414/381-45PC</t>
  </si>
  <si>
    <t xml:space="preserve">Double-track superelevated curve R414/381 mm × 45°. Standard double-track curve.</t>
  </si>
  <si>
    <t xml:space="preserve">20-183</t>
  </si>
  <si>
    <t xml:space="preserve">N Double Track Superelevated Curved R315/282 -45°</t>
  </si>
  <si>
    <t xml:space="preserve">WR315/282-45PC</t>
  </si>
  <si>
    <t xml:space="preserve">Double-track superelevated curve R315/282 mm × 45°.</t>
  </si>
  <si>
    <t xml:space="preserve">20-186</t>
  </si>
  <si>
    <t xml:space="preserve">Approach Curve</t>
  </si>
  <si>
    <t xml:space="preserve">N Double Track Approach Track R480/447 -22.5° (L&amp;R)</t>
  </si>
  <si>
    <t xml:space="preserve">WR480/447-22.5PC</t>
  </si>
  <si>
    <t xml:space="preserve">L &amp; R set</t>
  </si>
  <si>
    <t xml:space="preserve">22.5° approach (easement) curves R480/447 — connect straight to superelevated curve. L+R pair.</t>
  </si>
  <si>
    <t xml:space="preserve">20-182</t>
  </si>
  <si>
    <t xml:space="preserve">N Double Track Superelevated Approach R414/381 -22.5° (L&amp;R)</t>
  </si>
  <si>
    <t xml:space="preserve">WR414/381-22.5PC</t>
  </si>
  <si>
    <t xml:space="preserve">22.5° approach curves R414/381 mm. Required to ease into superelevated curves smoothly.</t>
  </si>
  <si>
    <t xml:space="preserve">20-184</t>
  </si>
  <si>
    <t xml:space="preserve">N Double Approach Track Set R315/282 -22.5° (L&amp;R)</t>
  </si>
  <si>
    <t xml:space="preserve">WR315/282-22.5PC</t>
  </si>
  <si>
    <t xml:space="preserve">22.5° approach curves R315/282 mm.</t>
  </si>
  <si>
    <t xml:space="preserve">20-006</t>
  </si>
  <si>
    <t xml:space="preserve">N Double Track Slab Track Straight 248mm</t>
  </si>
  <si>
    <t xml:space="preserve">WS248S</t>
  </si>
  <si>
    <t xml:space="preserve">Slab roadbed double-track straight 248 mm — for modern/subway scenes.</t>
  </si>
  <si>
    <t xml:space="preserve">20-014</t>
  </si>
  <si>
    <t xml:space="preserve">N Double Track Slab Track Straight 186mm</t>
  </si>
  <si>
    <t xml:space="preserve">WS186S</t>
  </si>
  <si>
    <t xml:space="preserve">Slab double-track straight 186 mm (3/4 of WS248S).</t>
  </si>
  <si>
    <t xml:space="preserve">20-025</t>
  </si>
  <si>
    <t xml:space="preserve">N Double Track Slab Track Straight 124mm</t>
  </si>
  <si>
    <t xml:space="preserve">WS124S</t>
  </si>
  <si>
    <t xml:space="preserve">Slab double-track straight 124 mm (1/2 of WS248S).</t>
  </si>
  <si>
    <t xml:space="preserve">20-044</t>
  </si>
  <si>
    <t xml:space="preserve">N Double Track Slab Track Straight 62mm</t>
  </si>
  <si>
    <t xml:space="preserve">WS62S</t>
  </si>
  <si>
    <t xml:space="preserve">Slab double-track straight 62 mm (1/4 of WS248S).</t>
  </si>
  <si>
    <t xml:space="preserve">20-049</t>
  </si>
  <si>
    <t xml:space="preserve">N Double Track Slab Track &amp; Feeder Track 62mm set</t>
  </si>
  <si>
    <t xml:space="preserve">WS62FS</t>
  </si>
  <si>
    <t xml:space="preserve">Slab double-track 62 mm with feeder.</t>
  </si>
  <si>
    <t xml:space="preserve">20-187</t>
  </si>
  <si>
    <t xml:space="preserve">N Double Track Slab Track R414/381 -45°</t>
  </si>
  <si>
    <t xml:space="preserve">WR414/381-45S</t>
  </si>
  <si>
    <t xml:space="preserve">Slab superelevated curve R414/381 × 45° for high-speed/urban scenes.</t>
  </si>
  <si>
    <t xml:space="preserve">20-188</t>
  </si>
  <si>
    <t xml:space="preserve">N Double Track Approach Slab Track R414/381 -22.5° (L&amp;R)</t>
  </si>
  <si>
    <t xml:space="preserve">WR414/381SAL/SAR</t>
  </si>
  <si>
    <t xml:space="preserve">22.5° slab approach curves R414/381 (L+R).</t>
  </si>
  <si>
    <t xml:space="preserve">20-401</t>
  </si>
  <si>
    <t xml:space="preserve">Viaduct Double</t>
  </si>
  <si>
    <t xml:space="preserve">N Double Track Straight Viaduct 248mm</t>
  </si>
  <si>
    <t xml:space="preserve">WS248VS</t>
  </si>
  <si>
    <t xml:space="preserve">2 pc</t>
  </si>
  <si>
    <t xml:space="preserve">Double-track straight viaduct 248 mm — base length for elevated double-track scenes.</t>
  </si>
  <si>
    <t xml:space="preserve">20-411</t>
  </si>
  <si>
    <t xml:space="preserve">N Double Track Straight Viaduct 186mm</t>
  </si>
  <si>
    <t xml:space="preserve">WS186VS</t>
  </si>
  <si>
    <t xml:space="preserve">Double-track straight viaduct 186 mm (3/4 of WS248VS).</t>
  </si>
  <si>
    <t xml:space="preserve">20-422</t>
  </si>
  <si>
    <t xml:space="preserve">N Concrete Slab Double Track Straight Viaduct Track 124mm</t>
  </si>
  <si>
    <t xml:space="preserve">WS124VS</t>
  </si>
  <si>
    <t xml:space="preserve">Concrete-slab double-track straight viaduct 124 mm.</t>
  </si>
  <si>
    <t xml:space="preserve">20-544</t>
  </si>
  <si>
    <t xml:space="preserve">N Double Track Curv. Viaduct Track R414/381 -45° Inclined</t>
  </si>
  <si>
    <t xml:space="preserve">WR414/381-45VS</t>
  </si>
  <si>
    <t xml:space="preserve">Double-track curved viaduct R414/381 mm 45°, superelevated.</t>
  </si>
  <si>
    <t xml:space="preserve">20-545</t>
  </si>
  <si>
    <t xml:space="preserve">N Double Track Viaduct Approach R414/381 (L&amp;R)</t>
  </si>
  <si>
    <t xml:space="preserve">WR414/381VSAL/VSAR</t>
  </si>
  <si>
    <t xml:space="preserve">22.5° viaduct approach curves R414/381 (L+R) — straight to superelevated.</t>
  </si>
  <si>
    <t xml:space="preserve">20-436</t>
  </si>
  <si>
    <t xml:space="preserve">Double Truss</t>
  </si>
  <si>
    <t xml:space="preserve">N Double Truss Bridge 248mm Light Blue</t>
  </si>
  <si>
    <t xml:space="preserve">WS248T</t>
  </si>
  <si>
    <t xml:space="preserve">Light Blue</t>
  </si>
  <si>
    <t xml:space="preserve">Double-track truss bridge 248 mm. Includes extra truss section + truss end caps for joining multiple bridges.</t>
  </si>
  <si>
    <t xml:space="preserve">20-437</t>
  </si>
  <si>
    <t xml:space="preserve">N Double Truss Bridge 248mm Gray</t>
  </si>
  <si>
    <t xml:space="preserve">Double-truss bridge 248 mm, gray.</t>
  </si>
  <si>
    <t xml:space="preserve">20-438</t>
  </si>
  <si>
    <t xml:space="preserve">N Double Truss Bridge 248mm Black</t>
  </si>
  <si>
    <t xml:space="preserve">Double-truss bridge 248 mm, black.</t>
  </si>
  <si>
    <t xml:space="preserve">20-439</t>
  </si>
  <si>
    <t xml:space="preserve">N Double Truss Bridge 248mm Light Green</t>
  </si>
  <si>
    <t xml:space="preserve">Light Green</t>
  </si>
  <si>
    <t xml:space="preserve">Double-truss bridge 248 mm, light green.</t>
  </si>
  <si>
    <t xml:space="preserve">20-455</t>
  </si>
  <si>
    <t xml:space="preserve">Double Plate Girder</t>
  </si>
  <si>
    <t xml:space="preserve">N Double Track Plate Girder Bridge 186mm Light Blue</t>
  </si>
  <si>
    <t xml:space="preserve">Urban-style double-track girder bridge — solid under-frame + ballasted deck.</t>
  </si>
  <si>
    <t xml:space="preserve">20-456</t>
  </si>
  <si>
    <t xml:space="preserve">N Double Track Plate Girder Bridge 186mm Light Green</t>
  </si>
  <si>
    <t xml:space="preserve">Double-track plate-girder bridge 186 mm, light green.</t>
  </si>
  <si>
    <t xml:space="preserve">20-457</t>
  </si>
  <si>
    <t xml:space="preserve">N Double Track Plate Girder Bridge 186mm Gray</t>
  </si>
  <si>
    <t xml:space="preserve">Double-track plate-girder bridge 186 mm, gray.</t>
  </si>
  <si>
    <t xml:space="preserve">20-458</t>
  </si>
  <si>
    <t xml:space="preserve">N Double Track Plate Girder Bridge 186mm Black</t>
  </si>
  <si>
    <t xml:space="preserve">Double-track plate-girder bridge 186 mm, black.</t>
  </si>
  <si>
    <t xml:space="preserve">23-019</t>
  </si>
  <si>
    <t xml:space="preserve">Double Track Pier 50mm</t>
  </si>
  <si>
    <t xml:space="preserve">Double-track pier 50 mm — for double truss bridges or viaduct. Includes 6 catenary-pole bases + 6 S-Joiners.</t>
  </si>
  <si>
    <t xml:space="preserve">23-020</t>
  </si>
  <si>
    <t xml:space="preserve">Double Track Viaduct Pier</t>
  </si>
  <si>
    <t xml:space="preserve">Framework-type pier with 6 legs for double-track viaducts. Includes 6 wide-catenary bases.</t>
  </si>
  <si>
    <t xml:space="preserve">23-048</t>
  </si>
  <si>
    <t xml:space="preserve">Incline Set Standard</t>
  </si>
  <si>
    <t xml:space="preserve">Double Track Incline Pier Set Standard</t>
  </si>
  <si>
    <t xml:space="preserve">Pier set for ground→elevated transition for double tracks. 10× wide-catenary bases; double-track ramp 186 mm.</t>
  </si>
  <si>
    <t xml:space="preserve">23-049</t>
  </si>
  <si>
    <t xml:space="preserve">Incline Set Auxiliary</t>
  </si>
  <si>
    <t xml:space="preserve">Double Track Incline Pier Set Auxiliary</t>
  </si>
  <si>
    <t xml:space="preserve">Auxiliary piers — adds intermediate spacing to Incline Set Standard.</t>
  </si>
  <si>
    <t xml:space="preserve">21-000</t>
  </si>
  <si>
    <t xml:space="preserve">Flexible Track</t>
  </si>
  <si>
    <t xml:space="preserve">Flexible</t>
  </si>
  <si>
    <t xml:space="preserve">N Flex Track 808mm</t>
  </si>
  <si>
    <t xml:space="preserve">31 13/16"</t>
  </si>
  <si>
    <t xml:space="preserve">Flexible track with flexible rails + ties; bend into any radius/S-curve; cut to length.</t>
  </si>
  <si>
    <t xml:space="preserve">21-001</t>
  </si>
  <si>
    <t xml:space="preserve">Flexible CT</t>
  </si>
  <si>
    <t xml:space="preserve">N Concrete Tie Flex Track 808mm</t>
  </si>
  <si>
    <t xml:space="preserve">Flexible track with concrete ties — 808 mm, bendable, cuttable.</t>
  </si>
  <si>
    <t xml:space="preserve">21-011</t>
  </si>
  <si>
    <t xml:space="preserve">N Uncoupler Track 124mm</t>
  </si>
  <si>
    <t xml:space="preserve">Uncoupling track for Magne-Matic couplers (Micro-Trains). Automatic + delayed uncoupling.</t>
  </si>
  <si>
    <t xml:space="preserve">20-099</t>
  </si>
  <si>
    <t xml:space="preserve">Roadbed</t>
  </si>
  <si>
    <t xml:space="preserve">N Roadbed Joiner</t>
  </si>
  <si>
    <t xml:space="preserve">Joint roadbed — smooth connection between N-scale Flex Track and Unitrack.</t>
  </si>
  <si>
    <t xml:space="preserve">24-805</t>
  </si>
  <si>
    <t xml:space="preserve">Flex Terminal</t>
  </si>
  <si>
    <t xml:space="preserve">Flexible Track Terminal Joiner 1yd</t>
  </si>
  <si>
    <t xml:space="preserve">Joiner for feeding power to flexible track.</t>
  </si>
  <si>
    <t xml:space="preserve">24-825</t>
  </si>
  <si>
    <t xml:space="preserve">DC Extension</t>
  </si>
  <si>
    <t xml:space="preserve">DC Extension Cord 1yd</t>
  </si>
  <si>
    <t xml:space="preserve">DC extension cord 90 cm.</t>
  </si>
  <si>
    <t xml:space="preserve">24-010</t>
  </si>
  <si>
    <t xml:space="preserve">Cork</t>
  </si>
  <si>
    <t xml:space="preserve">N Cork Road Bed 900mm</t>
  </si>
  <si>
    <t xml:space="preserve">36"</t>
  </si>
  <si>
    <t xml:space="preserve">Cork roadbed 900 mm for permanent layouts — stabilizes flex track, reduces noise.</t>
  </si>
  <si>
    <t xml:space="preserve">24-015</t>
  </si>
  <si>
    <t xml:space="preserve">Hardware</t>
  </si>
  <si>
    <t xml:space="preserve">Mounting Nails</t>
  </si>
  <si>
    <t xml:space="preserve">N Flexible Track Mounting Nails 13mm</t>
  </si>
  <si>
    <t xml:space="preserve">1/2"</t>
  </si>
  <si>
    <t xml:space="preserve">10 g</t>
  </si>
  <si>
    <t xml:space="preserve">13 mm flex-track mounting nails (also for Unitrack). 10 g pack.</t>
  </si>
  <si>
    <t xml:space="preserve">24-810</t>
  </si>
  <si>
    <t xml:space="preserve">Flex Joiner</t>
  </si>
  <si>
    <t xml:space="preserve">N Flexible Track Joiner</t>
  </si>
  <si>
    <t xml:space="preserve">12 pcs</t>
  </si>
  <si>
    <t xml:space="preserve">Flex-track-style joiners (no roadbed).</t>
  </si>
  <si>
    <t xml:space="preserve">24-811</t>
  </si>
  <si>
    <t xml:space="preserve">Insulation</t>
  </si>
  <si>
    <t xml:space="preserve">Insulation Joint</t>
  </si>
  <si>
    <t xml:space="preserve">Insulating rail joiners for flex-track sections.</t>
  </si>
  <si>
    <t xml:space="preserve">20-890</t>
  </si>
  <si>
    <t xml:space="preserve">Compact Set</t>
  </si>
  <si>
    <t xml:space="preserve">Oval Set</t>
  </si>
  <si>
    <t xml:space="preserve">N CV-1 Unitrack Compact Oval Set</t>
  </si>
  <si>
    <t xml:space="preserve">CV1</t>
  </si>
  <si>
    <t xml:space="preserve">Basic compact oval 325×573 mm: 8× R150-45° + 3× S124 + 1× S62 + 1× S62F + 1× rerailer. For UNITRAM Pocket Line and other small-motor trains.</t>
  </si>
  <si>
    <t xml:space="preserve">20-891</t>
  </si>
  <si>
    <t xml:space="preserve">Turnout Set</t>
  </si>
  <si>
    <t xml:space="preserve">N CV-2 Unitrack Compact Turnout Set</t>
  </si>
  <si>
    <t xml:space="preserve">CV2</t>
  </si>
  <si>
    <t xml:space="preserve">CV2 compact turnout: 1× L + 1× R R150-45° Electric Turnout + 2× R150-45° curves + 2× Turnout Control Switches.</t>
  </si>
  <si>
    <t xml:space="preserve">20-892</t>
  </si>
  <si>
    <t xml:space="preserve">Oval + Crossing</t>
  </si>
  <si>
    <t xml:space="preserve">N CV-3 Unitrack Compact Oval Set with 90° Crossing</t>
  </si>
  <si>
    <t xml:space="preserve">CV3</t>
  </si>
  <si>
    <t xml:space="preserve">CV3 figure-8 oval: 1× S248, 1× S124, 1× S124 rerailer, 1× S62, 1× S62 feeder, 2× S45 (1 3/4"), 8× R183-45°, 1× 90° crossing, 1× rerailer.</t>
  </si>
  <si>
    <t xml:space="preserve">20-240</t>
  </si>
  <si>
    <t xml:space="preserve">Compact Electric</t>
  </si>
  <si>
    <t xml:space="preserve">N Unitrack Compact Point R150 45° Left</t>
  </si>
  <si>
    <t xml:space="preserve">Compact electric turnout R150 mm 45° left.</t>
  </si>
  <si>
    <t xml:space="preserve">20-241</t>
  </si>
  <si>
    <t xml:space="preserve">N Unitrack Compact Point R150 45° Right</t>
  </si>
  <si>
    <t xml:space="preserve">Compact electric turnout R150 mm 45° right.</t>
  </si>
  <si>
    <t xml:space="preserve">40-810</t>
  </si>
  <si>
    <t xml:space="preserve">UNITRAM</t>
  </si>
  <si>
    <t xml:space="preserve">Basic Set</t>
  </si>
  <si>
    <t xml:space="preserve">UNITRAM V60 North American Style</t>
  </si>
  <si>
    <t xml:space="preserve">V60</t>
  </si>
  <si>
    <t xml:space="preserve">US-style street-tram set with manholes, studded crossing markers, concrete sidewalks, yellow dividing lines, right-hand markings. Layout area 620×496 mm. No tram/Power Pack included.</t>
  </si>
  <si>
    <t xml:space="preserve">40-812</t>
  </si>
  <si>
    <t xml:space="preserve">TV2 UNITRAM Street Track Expansion Set</t>
  </si>
  <si>
    <t xml:space="preserve">TV2</t>
  </si>
  <si>
    <t xml:space="preserve">Adds figure-8 street track to TV1/V60. Right-angle tram intersection.</t>
  </si>
  <si>
    <t xml:space="preserve">40-813</t>
  </si>
  <si>
    <t xml:space="preserve">TV3 UNITRAM Straight Track Expansion Set</t>
  </si>
  <si>
    <t xml:space="preserve">TV3</t>
  </si>
  <si>
    <t xml:space="preserve">Extends street track by 186 mm with road plates. One has pedestrian crossing, one doesn't. 186×434 mm × 2.</t>
  </si>
  <si>
    <t xml:space="preserve">40-814</t>
  </si>
  <si>
    <t xml:space="preserve">Adapter Set</t>
  </si>
  <si>
    <t xml:space="preserve">TV4 UNITRAM Straight Track Set</t>
  </si>
  <si>
    <t xml:space="preserve">TV4</t>
  </si>
  <si>
    <t xml:space="preserve">Links UNITRAM (25 mm spacing) with UNITRACK (33 mm spacing). 434×434 mm.</t>
  </si>
  <si>
    <t xml:space="preserve">40-815</t>
  </si>
  <si>
    <t xml:space="preserve">TV5 UNITRAM Straight Track Expansion Set</t>
  </si>
  <si>
    <t xml:space="preserve">TV5</t>
  </si>
  <si>
    <t xml:space="preserve">Extends TV1 by 124 mm with road plates × 2 (124×434 mm).</t>
  </si>
  <si>
    <t xml:space="preserve">40-822</t>
  </si>
  <si>
    <t xml:space="preserve">Street Set</t>
  </si>
  <si>
    <t xml:space="preserve">UNITRAM Street Set</t>
  </si>
  <si>
    <t xml:space="preserve">Buildings/roads on outer sides of TV1 — placeable on both sides of surface track.</t>
  </si>
  <si>
    <t xml:space="preserve">40-823</t>
  </si>
  <si>
    <t xml:space="preserve">Intersection</t>
  </si>
  <si>
    <t xml:space="preserve">UNITRAM Four-Way Street Intersection Set</t>
  </si>
  <si>
    <t xml:space="preserve">Large four-way intersection for outer sides of TV1.</t>
  </si>
  <si>
    <t xml:space="preserve">40-014</t>
  </si>
  <si>
    <t xml:space="preserve">Street Track</t>
  </si>
  <si>
    <t xml:space="preserve">UNITRAM Street Track Straight 186mm</t>
  </si>
  <si>
    <t xml:space="preserve">Street tram straight 186 mm — tram catenary pole included.</t>
  </si>
  <si>
    <t xml:space="preserve">40-014-E</t>
  </si>
  <si>
    <t xml:space="preserve">UNITRAM E Series Street Track Straight 186mm</t>
  </si>
  <si>
    <t xml:space="preserve">E Series 186 mm street straight (lower price; without catenary pole).</t>
  </si>
  <si>
    <t xml:space="preserve">40-024</t>
  </si>
  <si>
    <t xml:space="preserve">UNITRAM Street Track Straight 124mm</t>
  </si>
  <si>
    <t xml:space="preserve">Street tram straight 124 mm with catenary pole.</t>
  </si>
  <si>
    <t xml:space="preserve">40-024-E</t>
  </si>
  <si>
    <t xml:space="preserve">UNITRAM E Series Street Track Straight 124mm</t>
  </si>
  <si>
    <t xml:space="preserve">E Series 124 mm street straight.</t>
  </si>
  <si>
    <t xml:space="preserve">40-021</t>
  </si>
  <si>
    <t xml:space="preserve">Adapter</t>
  </si>
  <si>
    <t xml:space="preserve">UNITRAM Street Track Plate to UNITRACK Conversion 124mm</t>
  </si>
  <si>
    <t xml:space="preserve">Conversion plate 124 mm — UNITRAM to UNITRACK. Dedicated catenary pole included.</t>
  </si>
  <si>
    <t xml:space="preserve">40-033</t>
  </si>
  <si>
    <t xml:space="preserve">UNITRAM Street Track Straight 62mm</t>
  </si>
  <si>
    <t xml:space="preserve">Street tram straight 62 mm with catenary pole.</t>
  </si>
  <si>
    <t xml:space="preserve">40-033-E</t>
  </si>
  <si>
    <t xml:space="preserve">UNITRAM E Series Street Track Straight 62mm</t>
  </si>
  <si>
    <t xml:space="preserve">E Series 62 mm street straight.</t>
  </si>
  <si>
    <t xml:space="preserve">40-103</t>
  </si>
  <si>
    <t xml:space="preserve">Street Curve</t>
  </si>
  <si>
    <t xml:space="preserve">UNITRAM Street Track Curve R180mm-45° Left</t>
  </si>
  <si>
    <t xml:space="preserve">Street tram curve R180 mm 45° left with catenary pole.</t>
  </si>
  <si>
    <t xml:space="preserve">40-103-E</t>
  </si>
  <si>
    <t xml:space="preserve">UNITRAM E Series Street Track Curve R180mm-45° Left</t>
  </si>
  <si>
    <t xml:space="preserve">E Series 180 mm 45° left curve.</t>
  </si>
  <si>
    <t xml:space="preserve">40-104</t>
  </si>
  <si>
    <t xml:space="preserve">UNITRAM Street Track Curve R180mm-45° Right</t>
  </si>
  <si>
    <t xml:space="preserve">Street tram curve R180 mm 45° right with catenary pole.</t>
  </si>
  <si>
    <t xml:space="preserve">40-104-E</t>
  </si>
  <si>
    <t xml:space="preserve">UNITRAM E Series Street Track Curve R180mm-45° Right</t>
  </si>
  <si>
    <t xml:space="preserve">E Series 180 mm 45° right curve.</t>
  </si>
  <si>
    <t xml:space="preserve">40-212</t>
  </si>
  <si>
    <t xml:space="preserve">Electric Turnout</t>
  </si>
  <si>
    <t xml:space="preserve">UNITRAM Street Track Electric Turnout R180mm Left</t>
  </si>
  <si>
    <t xml:space="preserve">Electric street-track turnout R180 mm left.</t>
  </si>
  <si>
    <t xml:space="preserve">40-212-E</t>
  </si>
  <si>
    <t xml:space="preserve">UNITRAM E Series Street Track Electric Turnout R180mm Left</t>
  </si>
  <si>
    <t xml:space="preserve">E Series electric turnout R180 left.</t>
  </si>
  <si>
    <t xml:space="preserve">40-213</t>
  </si>
  <si>
    <t xml:space="preserve">UNITRAM Street Track Electric Turnout R180mm Right</t>
  </si>
  <si>
    <t xml:space="preserve">Electric street-track turnout R180 mm right.</t>
  </si>
  <si>
    <t xml:space="preserve">40-213-E</t>
  </si>
  <si>
    <t xml:space="preserve">UNITRAM E Series Street Track Electric Turnout R180mm Right</t>
  </si>
  <si>
    <t xml:space="preserve">E Series electric turnout R180 right.</t>
  </si>
  <si>
    <t xml:space="preserve">40-301</t>
  </si>
  <si>
    <t xml:space="preserve">UNITRAM Street Track 62mm 90° Crossing Section</t>
  </si>
  <si>
    <t xml:space="preserve">62 mm 90° street crossing — crash barriers sold separately.</t>
  </si>
  <si>
    <t xml:space="preserve">40-301-E</t>
  </si>
  <si>
    <t xml:space="preserve">UNITRAM E Series Street Track 62mm 90° Crossing</t>
  </si>
  <si>
    <t xml:space="preserve">E Series 62 mm 90° crossing.</t>
  </si>
  <si>
    <t xml:space="preserve">40-101</t>
  </si>
  <si>
    <t xml:space="preserve">Road Plate</t>
  </si>
  <si>
    <t xml:space="preserve">UNITRAM Quarter Circle Inner Road Plate</t>
  </si>
  <si>
    <t xml:space="preserve">Quarter-circle inner road plate for tram corner.</t>
  </si>
  <si>
    <t xml:space="preserve">40-101-E</t>
  </si>
  <si>
    <t xml:space="preserve">UNITRAM E Series Center Road Plate 186mm</t>
  </si>
  <si>
    <t xml:space="preserve">E Series center road plate 186 mm.</t>
  </si>
  <si>
    <t xml:space="preserve">40-102-E</t>
  </si>
  <si>
    <t xml:space="preserve">UNITRAM E Series Intersection Road Plate</t>
  </si>
  <si>
    <t xml:space="preserve">E Series intersection road plate.</t>
  </si>
  <si>
    <t xml:space="preserve">40-103-E2</t>
  </si>
  <si>
    <t xml:space="preserve">UNITRAM E Series Quarter Circle Inner Road Plate</t>
  </si>
  <si>
    <t xml:space="preserve">E Series quarter-circle inner road plate.</t>
  </si>
  <si>
    <t xml:space="preserve">43-733</t>
  </si>
  <si>
    <t xml:space="preserve">Platform</t>
  </si>
  <si>
    <t xml:space="preserve">UNITRAM Tram Stop Kit</t>
  </si>
  <si>
    <t xml:space="preserve">Modern barrier-free tram-stop platforms (L+R) — snap into straight street plate, no glue.</t>
  </si>
  <si>
    <t xml:space="preserve">23-140</t>
  </si>
  <si>
    <t xml:space="preserve">N Street Car Type Platform Set (L &amp; R)</t>
  </si>
  <si>
    <t xml:space="preserve">High-floor tram-platform set (L+R). 186 mm UNITRAM / 202 mm UNITRACK base.</t>
  </si>
  <si>
    <t xml:space="preserve">23-141</t>
  </si>
  <si>
    <t xml:space="preserve">N LRT Low Platform Set</t>
  </si>
  <si>
    <t xml:space="preserve">9"</t>
  </si>
  <si>
    <t xml:space="preserve">LRT low platforms for UNITRACK (49.5 mm double-track spacing). 1 left + 1 right slope. 229 mm.</t>
  </si>
  <si>
    <t xml:space="preserve">43-731</t>
  </si>
  <si>
    <t xml:space="preserve">Catenary</t>
  </si>
  <si>
    <t xml:space="preserve">UNITRAM Tram Catenary Pole Set</t>
  </si>
  <si>
    <t xml:space="preserve">10× UNITRAM tram catenary poles.</t>
  </si>
  <si>
    <t xml:space="preserve">44-847</t>
  </si>
  <si>
    <t xml:space="preserve">UNITRAM Tram Feeder Power Cable 90cm</t>
  </si>
  <si>
    <t xml:space="preserve">1 yd</t>
  </si>
  <si>
    <t xml:space="preserve">UNITRAM tram feeder cable 90 cm.</t>
  </si>
  <si>
    <t xml:space="preserve">20-058-1</t>
  </si>
  <si>
    <t xml:space="preserve">Catenary Pole</t>
  </si>
  <si>
    <t xml:space="preserve">Warren Brace</t>
  </si>
  <si>
    <t xml:space="preserve">N Single-track Warren Brace Catenary Pole</t>
  </si>
  <si>
    <t xml:space="preserve">Truss-style catenary pole for single deck-girder bridges / single-track. Includes long + short brackets (6 each).</t>
  </si>
  <si>
    <t xml:space="preserve">23-057</t>
  </si>
  <si>
    <t xml:space="preserve">Double Modern</t>
  </si>
  <si>
    <t xml:space="preserve">N Modern Double Catenary Support Set</t>
  </si>
  <si>
    <t xml:space="preserve">6 pcs</t>
  </si>
  <si>
    <t xml:space="preserve">Modern arch-type catenary, 33 mm spacing for double-track. 10 poles of 2 types + 2 tension adjusters.</t>
  </si>
  <si>
    <t xml:space="preserve">23-059-1</t>
  </si>
  <si>
    <t xml:space="preserve">Single Concrete</t>
  </si>
  <si>
    <t xml:space="preserve">N Single Track Catenary Poles</t>
  </si>
  <si>
    <t xml:space="preserve">16 pcs</t>
  </si>
  <si>
    <t xml:space="preserve">Concrete catenary poles for single-track / new electrified / Shinkansen. 16 poles, 2 types.</t>
  </si>
  <si>
    <t xml:space="preserve">23-060-1</t>
  </si>
  <si>
    <t xml:space="preserve">Double Square Corner</t>
  </si>
  <si>
    <t xml:space="preserve">N Double Track Catenary Poles Square Corner</t>
  </si>
  <si>
    <t xml:space="preserve">Most common truss-beam double catenary — 33 mm spacing for Unitrack.</t>
  </si>
  <si>
    <t xml:space="preserve">23-061</t>
  </si>
  <si>
    <t xml:space="preserve">Double Wide</t>
  </si>
  <si>
    <t xml:space="preserve">N Double-Track Wide Catenary Poles</t>
  </si>
  <si>
    <t xml:space="preserve">Wide-canted concrete poles, side-wall mount. Includes 2 tension adjusters.</t>
  </si>
  <si>
    <t xml:space="preserve">23-062</t>
  </si>
  <si>
    <t xml:space="preserve">Double Wide Arch</t>
  </si>
  <si>
    <t xml:space="preserve">N Double-Track Wide Arch Catenary Poles</t>
  </si>
  <si>
    <t xml:space="preserve">Wide arch catenary for canted double-track. 10 poles, 2 types + 2 tension adjusters.</t>
  </si>
  <si>
    <t xml:space="preserve">23-063</t>
  </si>
  <si>
    <t xml:space="preserve">Truss Double</t>
  </si>
  <si>
    <t xml:space="preserve">N Truss Catenary Pole for Double-Track</t>
  </si>
  <si>
    <t xml:space="preserve">Lamen-truss catenary, double-track, canted; ground or elevated.</t>
  </si>
  <si>
    <t xml:space="preserve">23-064</t>
  </si>
  <si>
    <t xml:space="preserve">Four-Track Wide</t>
  </si>
  <si>
    <t xml:space="preserve">N Four-Track Wide Catenary Poles</t>
  </si>
  <si>
    <t xml:space="preserve">Catenary spanning 4 lines for quadruple track. Center pole has tension adjuster.</t>
  </si>
  <si>
    <t xml:space="preserve">3-103</t>
  </si>
  <si>
    <t xml:space="preserve">HO</t>
  </si>
  <si>
    <t xml:space="preserve">HO UNITRACK WGH Plan Set</t>
  </si>
  <si>
    <t xml:space="preserve">8'</t>
  </si>
  <si>
    <t xml:space="preserve">HO beginner Unitrack: R490 curves + #4 turnouts for sidings/passing tracks. 4× S246 + S246F + 4× S174 + 3× S123 + 2× S109B + 29× R490-22.5 + 2× HP490L + 2× HP490R + rerailer + Power Pack Adaptor Cord. 2400×1200 mm.</t>
  </si>
  <si>
    <t xml:space="preserve">3-105</t>
  </si>
  <si>
    <t xml:space="preserve">HO HM-1 R670mm Basic Oval Track Set with Power Pack SX</t>
  </si>
  <si>
    <t xml:space="preserve">HM1</t>
  </si>
  <si>
    <t xml:space="preserve">26 3/8"</t>
  </si>
  <si>
    <t xml:space="preserve">HO oval w/ Power Pack SX: 6× S246 + S246F + S123 + S123RE + 16× R670-22.5 + HO rerailer + Power Pack SX. 2366×1300 mm.</t>
  </si>
  <si>
    <t xml:space="preserve">3-111</t>
  </si>
  <si>
    <t xml:space="preserve">Outer Oval</t>
  </si>
  <si>
    <t xml:space="preserve">HO HV1 R730mm Outer Track Oval</t>
  </si>
  <si>
    <t xml:space="preserve">HV1</t>
  </si>
  <si>
    <t xml:space="preserve">28 3/4"</t>
  </si>
  <si>
    <t xml:space="preserve">Outer oval for HM-1 with 60 mm spacing: 7× S246 + S246F + 16× R730-22.5 + rerailer. 2486×1502 mm.</t>
  </si>
  <si>
    <t xml:space="preserve">3-112</t>
  </si>
  <si>
    <t xml:space="preserve">Passing Siding</t>
  </si>
  <si>
    <t xml:space="preserve">HO HV2 Passing Siding Track Set with #6 Manual Turnout</t>
  </si>
  <si>
    <t xml:space="preserve">HV2</t>
  </si>
  <si>
    <t xml:space="preserve">Passing siding for HM-1: 39 3/8" siding. 1× HP867L + 1× HP867R + 2× R867-10 + 2× S149 + 6× S246. 1722×102 mm.</t>
  </si>
  <si>
    <t xml:space="preserve">3-114</t>
  </si>
  <si>
    <t xml:space="preserve">Interchange</t>
  </si>
  <si>
    <t xml:space="preserve">HO HV4 LH Interchange Track Set with #6 Electric Turnouts</t>
  </si>
  <si>
    <t xml:space="preserve">HV4</t>
  </si>
  <si>
    <t xml:space="preserve">Large-radius crossing, 60 mm double-track spacing, both Power-Routing and Non-Power-Routing modes. 2× Electric #6L turnout + 2× S94 + 2× S149 + 4× Road Bed Shoulder A + 2× Shoulder B + 2× Insulated Unijoiner + 1× Turnout Control Switch + 1× 3-Way Extension + 2× Electric Turnout Cable.</t>
  </si>
  <si>
    <t xml:space="preserve">3-115</t>
  </si>
  <si>
    <t xml:space="preserve">HO HV5 R550mm Basic Oval Track Set</t>
  </si>
  <si>
    <t xml:space="preserve">HV5</t>
  </si>
  <si>
    <t xml:space="preserve">21 5/8"</t>
  </si>
  <si>
    <t xml:space="preserve">Compact HO oval R550: 7× S246 + S246F + 16× R550-22.5 + HO rerailer + Power Pack Adapter Cord. 2126×1142 mm.</t>
  </si>
  <si>
    <t xml:space="preserve">3-131</t>
  </si>
  <si>
    <t xml:space="preserve">HO HV21 3-Color Automatic Signal Set</t>
  </si>
  <si>
    <t xml:space="preserve">HV21</t>
  </si>
  <si>
    <t xml:space="preserve">2× HO 3-Color Automatic Signal + 2× S123 + Stop Signal Switch + Signal Power Supply + Accessory Adapter + 2× Signal Extension Cable.</t>
  </si>
  <si>
    <t xml:space="preserve">2-180</t>
  </si>
  <si>
    <t xml:space="preserve">Long</t>
  </si>
  <si>
    <t xml:space="preserve">HO Straight Track 369mm</t>
  </si>
  <si>
    <t xml:space="preserve">S369</t>
  </si>
  <si>
    <t xml:space="preserve">14 1/2"</t>
  </si>
  <si>
    <t xml:space="preserve">HO straight 369 mm = 1.5× S246. For long straight sections.</t>
  </si>
  <si>
    <t xml:space="preserve">2-150</t>
  </si>
  <si>
    <t xml:space="preserve">HO Straight Track 246mm</t>
  </si>
  <si>
    <t xml:space="preserve">S246</t>
  </si>
  <si>
    <t xml:space="preserve">9 11/16"</t>
  </si>
  <si>
    <t xml:space="preserve">HO standard straight 246 mm — base length of HO Unitrack.</t>
  </si>
  <si>
    <t xml:space="preserve">2-151</t>
  </si>
  <si>
    <t xml:space="preserve">HO Feeder Track 246mm</t>
  </si>
  <si>
    <t xml:space="preserve">S246F</t>
  </si>
  <si>
    <t xml:space="preserve">HO 246 mm feeder track.</t>
  </si>
  <si>
    <t xml:space="preserve">2-160</t>
  </si>
  <si>
    <t xml:space="preserve">HO Straight Track 227mm</t>
  </si>
  <si>
    <t xml:space="preserve">S227</t>
  </si>
  <si>
    <t xml:space="preserve">8 15/16"</t>
  </si>
  <si>
    <t xml:space="preserve">HO 227 mm — matches horizontal of S246 at 22.5° angle.</t>
  </si>
  <si>
    <t xml:space="preserve">2-130</t>
  </si>
  <si>
    <t xml:space="preserve">HO Straight Track 174mm</t>
  </si>
  <si>
    <t xml:space="preserve">S174</t>
  </si>
  <si>
    <t xml:space="preserve">6 7/8"</t>
  </si>
  <si>
    <t xml:space="preserve">HO 174 mm — matches S246 horizontal at 45°. Use as #4-turnout branch adjustment or to create 120 mm spacing with #6 turnout.</t>
  </si>
  <si>
    <t xml:space="preserve">2-193</t>
  </si>
  <si>
    <t xml:space="preserve">HO Straight Track 149mm</t>
  </si>
  <si>
    <t xml:space="preserve">S149</t>
  </si>
  <si>
    <t xml:space="preserve">5 7/8"</t>
  </si>
  <si>
    <t xml:space="preserve">HO 149 mm — supplemental track for #6 turnout. With HP867L/R+S149 creates 492 mm straight (= 2× S246).</t>
  </si>
  <si>
    <t xml:space="preserve">2-140</t>
  </si>
  <si>
    <t xml:space="preserve">HO Straight Track 123mm</t>
  </si>
  <si>
    <t xml:space="preserve">S123</t>
  </si>
  <si>
    <t xml:space="preserve">4 13/16"</t>
  </si>
  <si>
    <t xml:space="preserve">HO 123 mm = 1/2 of S246.</t>
  </si>
  <si>
    <t xml:space="preserve">2-142</t>
  </si>
  <si>
    <t xml:space="preserve">Rerailer</t>
  </si>
  <si>
    <t xml:space="preserve">HO Rerailer Track 123mm</t>
  </si>
  <si>
    <t xml:space="preserve">S123RE</t>
  </si>
  <si>
    <t xml:space="preserve">HO rerailer 123 mm — looks like grade crossing. Two parallel = HO standard 60 mm double-track spacing.</t>
  </si>
  <si>
    <t xml:space="preserve">2-143</t>
  </si>
  <si>
    <t xml:space="preserve">HO Uncoupling Track 123mm</t>
  </si>
  <si>
    <t xml:space="preserve">S123U</t>
  </si>
  <si>
    <t xml:space="preserve">HO uncoupling track for Kadee couplers — magnet between rails.</t>
  </si>
  <si>
    <t xml:space="preserve">2-120</t>
  </si>
  <si>
    <t xml:space="preserve">HO Straight Track 114mm</t>
  </si>
  <si>
    <t xml:space="preserve">S114</t>
  </si>
  <si>
    <t xml:space="preserve">4 9/16"</t>
  </si>
  <si>
    <t xml:space="preserve">HO 114 mm — supplemental for #4 Electric Turnout, also adjustment for short sections.</t>
  </si>
  <si>
    <t xml:space="preserve">2-192</t>
  </si>
  <si>
    <t xml:space="preserve">Length Adj #6</t>
  </si>
  <si>
    <t xml:space="preserve">HO Length Adjustment Straight Track #6 97mm</t>
  </si>
  <si>
    <t xml:space="preserve">S97</t>
  </si>
  <si>
    <t xml:space="preserve">3 12/16"</t>
  </si>
  <si>
    <t xml:space="preserve">HO 97 mm length adjustment for #6 Electric Turnout + R867-10 curves. Allows sidings off turnout; with R867-10 lets double-track span change.</t>
  </si>
  <si>
    <t xml:space="preserve">2-601</t>
  </si>
  <si>
    <t xml:space="preserve">HO 3-Color Automatic Signal DCC-Friendly</t>
  </si>
  <si>
    <t xml:space="preserve">S123SGL</t>
  </si>
  <si>
    <t xml:space="preserve">HO 3-color automatic signal, DCC-friendly. With Stop Signal Switch 24-848 can hold red.</t>
  </si>
  <si>
    <t xml:space="preserve">2-111</t>
  </si>
  <si>
    <t xml:space="preserve">HO Straight Track 94mm</t>
  </si>
  <si>
    <t xml:space="preserve">S94</t>
  </si>
  <si>
    <t xml:space="preserve">3 11/16"</t>
  </si>
  <si>
    <t xml:space="preserve">HO 94 mm — matches S246 horizontal at 67.5°.</t>
  </si>
  <si>
    <t xml:space="preserve">2-105</t>
  </si>
  <si>
    <t xml:space="preserve">HO Straight Track 60mm</t>
  </si>
  <si>
    <t xml:space="preserve">S60</t>
  </si>
  <si>
    <t xml:space="preserve">2 3/8"</t>
  </si>
  <si>
    <t xml:space="preserve">HO 60 mm — equal to HO standard double-track spacing.</t>
  </si>
  <si>
    <t xml:space="preserve">2-170</t>
  </si>
  <si>
    <t xml:space="preserve">Bumper</t>
  </si>
  <si>
    <t xml:space="preserve">HO Bumper Track 109mm</t>
  </si>
  <si>
    <t xml:space="preserve">S109B</t>
  </si>
  <si>
    <t xml:space="preserve">4 5/16"</t>
  </si>
  <si>
    <t xml:space="preserve">HO bumper track, generic turret style. Track end at sidings/yards/terminals.</t>
  </si>
  <si>
    <t xml:space="preserve">2-194</t>
  </si>
  <si>
    <t xml:space="preserve">HO Expansion Track 212-252mm</t>
  </si>
  <si>
    <t xml:space="preserve">S212S</t>
  </si>
  <si>
    <t xml:space="preserve">8 2/8"-9 15/16"</t>
  </si>
  <si>
    <t xml:space="preserve">HO continuous welded-rail-style expansion joint, adjustable 212-252 mm.</t>
  </si>
  <si>
    <t xml:space="preserve">24-848</t>
  </si>
  <si>
    <t xml:space="preserve">Signal Switch</t>
  </si>
  <si>
    <t xml:space="preserve">HO Stop Signal Switch</t>
  </si>
  <si>
    <t xml:space="preserve">Stop signal switch for HO automatic signal — holds red. For N use 20-654 sensor extension.</t>
  </si>
  <si>
    <t xml:space="preserve">2-290</t>
  </si>
  <si>
    <t xml:space="preserve">HO Curve Track R867 10°</t>
  </si>
  <si>
    <t xml:space="preserve">R867-10</t>
  </si>
  <si>
    <t xml:space="preserve">HO R867 mm 10° curve — supplemental for #6 manual turnout siding.</t>
  </si>
  <si>
    <t xml:space="preserve">2-280</t>
  </si>
  <si>
    <t xml:space="preserve">HO Curve Track R370 22.5°</t>
  </si>
  <si>
    <t xml:space="preserve">R370-22.5</t>
  </si>
  <si>
    <t xml:space="preserve">HO R370 22.5° — smallest HO curve, for tabletop layouts.</t>
  </si>
  <si>
    <t xml:space="preserve">2-260</t>
  </si>
  <si>
    <t xml:space="preserve">HO Curve Track R430 22.5°</t>
  </si>
  <si>
    <t xml:space="preserve">R430-22.5</t>
  </si>
  <si>
    <t xml:space="preserve">HO R430 22.5° — small-layout curve.</t>
  </si>
  <si>
    <t xml:space="preserve">2-270</t>
  </si>
  <si>
    <t xml:space="preserve">HO Curve Track R490 22.5°</t>
  </si>
  <si>
    <t xml:space="preserve">R490-22.5</t>
  </si>
  <si>
    <t xml:space="preserve">HO R490 22.5° — small-layout curve.</t>
  </si>
  <si>
    <t xml:space="preserve">2-210</t>
  </si>
  <si>
    <t xml:space="preserve">HO Curve Track R550 22.5°</t>
  </si>
  <si>
    <t xml:space="preserve">R550-22.5</t>
  </si>
  <si>
    <t xml:space="preserve">HO R550 22.5° — BASE curve, matches #4 turnout. ALL Kato HO can pass this.</t>
  </si>
  <si>
    <t xml:space="preserve">2-220</t>
  </si>
  <si>
    <t xml:space="preserve">HO Curve Track R610 22.5°</t>
  </si>
  <si>
    <t xml:space="preserve">R610-22.5</t>
  </si>
  <si>
    <t xml:space="preserve">HO R610 22.5° — outer for limited-space double track.</t>
  </si>
  <si>
    <t xml:space="preserve">2-230</t>
  </si>
  <si>
    <t xml:space="preserve">HO Curve Track R670 22.5°</t>
  </si>
  <si>
    <t xml:space="preserve">R670-22.5</t>
  </si>
  <si>
    <t xml:space="preserve">HO R670 22.5° — main HM-1 curve.</t>
  </si>
  <si>
    <t xml:space="preserve">2-240</t>
  </si>
  <si>
    <t xml:space="preserve">HO Curve Track R730 22.5°</t>
  </si>
  <si>
    <t xml:space="preserve">R730-22.5</t>
  </si>
  <si>
    <t xml:space="preserve">HO R730 22.5° — outer for HV1 set.</t>
  </si>
  <si>
    <t xml:space="preserve">2-250</t>
  </si>
  <si>
    <t xml:space="preserve">HO Curve Track R790 22.5°</t>
  </si>
  <si>
    <t xml:space="preserve">R790-22.5</t>
  </si>
  <si>
    <t xml:space="preserve">HO R790 22.5° — widest standard HO curve.</t>
  </si>
  <si>
    <t xml:space="preserve">2-401</t>
  </si>
  <si>
    <t xml:space="preserve">HO 90-degree Crossing 60mm</t>
  </si>
  <si>
    <t xml:space="preserve">X90</t>
  </si>
  <si>
    <t xml:space="preserve">HO 90° crossing, 60 mm — for figure-8 layouts.</t>
  </si>
  <si>
    <t xml:space="preserve">2-181</t>
  </si>
  <si>
    <t xml:space="preserve">PC Long</t>
  </si>
  <si>
    <t xml:space="preserve">HO PC Straight Track 369mm</t>
  </si>
  <si>
    <t xml:space="preserve">S369PC</t>
  </si>
  <si>
    <t xml:space="preserve">14 3/4"</t>
  </si>
  <si>
    <t xml:space="preserve">HO PC (concrete tie) straight 369 mm.</t>
  </si>
  <si>
    <t xml:space="preserve">2-152</t>
  </si>
  <si>
    <t xml:space="preserve">PC Standard</t>
  </si>
  <si>
    <t xml:space="preserve">HO PC Straight Track 246mm</t>
  </si>
  <si>
    <t xml:space="preserve">S246PC</t>
  </si>
  <si>
    <t xml:space="preserve">9 7/8"</t>
  </si>
  <si>
    <t xml:space="preserve">HO PC straight 246 mm.</t>
  </si>
  <si>
    <t xml:space="preserve">2-153</t>
  </si>
  <si>
    <t xml:space="preserve">PC Feeder</t>
  </si>
  <si>
    <t xml:space="preserve">HO PC Straight Feeder Track 246mm</t>
  </si>
  <si>
    <t xml:space="preserve">S246FPC</t>
  </si>
  <si>
    <t xml:space="preserve">HO PC 246 mm feeder.</t>
  </si>
  <si>
    <t xml:space="preserve">2-141</t>
  </si>
  <si>
    <t xml:space="preserve">HO PC Straight Track 123mm</t>
  </si>
  <si>
    <t xml:space="preserve">S123PC</t>
  </si>
  <si>
    <t xml:space="preserve">HO PC straight 123 mm.</t>
  </si>
  <si>
    <t xml:space="preserve">2-331</t>
  </si>
  <si>
    <t xml:space="preserve">PC Large-Radius</t>
  </si>
  <si>
    <t xml:space="preserve">HO Concrete Tie Large-Radius Curve R1606mm 11.25°</t>
  </si>
  <si>
    <t xml:space="preserve">HO transition curve R1606 mm 11.25° (no cant) — eases straight→curve, also for double-track interval.</t>
  </si>
  <si>
    <t xml:space="preserve">2-321</t>
  </si>
  <si>
    <t xml:space="preserve">HO Concrete Tie Large-Radius Curve R1546mm 11.25°</t>
  </si>
  <si>
    <t xml:space="preserve">HO transition curve R1546 mm 11.25° (no cant).</t>
  </si>
  <si>
    <t xml:space="preserve">2-251</t>
  </si>
  <si>
    <t xml:space="preserve">PC Superelevated</t>
  </si>
  <si>
    <t xml:space="preserve">HO PC Curve Track R790mm 22.5°</t>
  </si>
  <si>
    <t xml:space="preserve">HO PC superelevated curve R790 mm 22.5°.</t>
  </si>
  <si>
    <t xml:space="preserve">2-252</t>
  </si>
  <si>
    <t xml:space="preserve">PC Approach</t>
  </si>
  <si>
    <t xml:space="preserve">HO PC Curve Track R790mm 22.5° Approach (L&amp;R)</t>
  </si>
  <si>
    <t xml:space="preserve">HO PC approach (easement) R790 22.5° — connects straight to superelevated curve.</t>
  </si>
  <si>
    <t xml:space="preserve">2-241</t>
  </si>
  <si>
    <t xml:space="preserve">HO PC Curve Track R730mm 22.5°</t>
  </si>
  <si>
    <t xml:space="preserve">HO PC superelevated curve R730 mm 22.5°.</t>
  </si>
  <si>
    <t xml:space="preserve">2-242</t>
  </si>
  <si>
    <t xml:space="preserve">HO PC Curve Track R730mm 22.5° Approach (L&amp;R)</t>
  </si>
  <si>
    <t xml:space="preserve">HO PC approach (easement) R730 22.5°.</t>
  </si>
  <si>
    <t xml:space="preserve">2-001</t>
  </si>
  <si>
    <t xml:space="preserve">HO Concrete Tie Flexible Track 900mm</t>
  </si>
  <si>
    <t xml:space="preserve">35 7/16"</t>
  </si>
  <si>
    <t xml:space="preserve">HO concrete-tie flexible track 900 mm — modern landscape; bendable.</t>
  </si>
  <si>
    <t xml:space="preserve">2-099</t>
  </si>
  <si>
    <t xml:space="preserve">HO Roadbed Joiner</t>
  </si>
  <si>
    <t xml:space="preserve">Joiner between flex track and Unitrack turnout / automatic crossing.</t>
  </si>
  <si>
    <t xml:space="preserve">6-010</t>
  </si>
  <si>
    <t xml:space="preserve">HO Cork Roadbed 900mm</t>
  </si>
  <si>
    <t xml:space="preserve">HO cork roadbed 900 mm — stabilizes flex track + aligns rail height with HO Unitrack.</t>
  </si>
  <si>
    <t xml:space="preserve">2-862</t>
  </si>
  <si>
    <t xml:space="preserve">#6 Manual</t>
  </si>
  <si>
    <t xml:space="preserve">HO #6 Manual Left Turnout w/ R867mm</t>
  </si>
  <si>
    <t xml:space="preserve">HP867L</t>
  </si>
  <si>
    <t xml:space="preserve">HO #6 manual left turnout, R867 mm large-radius curve. Single molded piece; can be electrified with 2-503 turnout machine.</t>
  </si>
  <si>
    <t xml:space="preserve">2-863</t>
  </si>
  <si>
    <t xml:space="preserve">HO #6 Manual Right Turnout w/ R867mm</t>
  </si>
  <si>
    <t xml:space="preserve">HP867R</t>
  </si>
  <si>
    <t xml:space="preserve">HO #6 manual right turnout, R867 mm. Electrify with 2-504.</t>
  </si>
  <si>
    <t xml:space="preserve">2-852</t>
  </si>
  <si>
    <t xml:space="preserve">#4 Manual</t>
  </si>
  <si>
    <t xml:space="preserve">HO #4 Manual Left Turnout w/ R550mm</t>
  </si>
  <si>
    <t xml:space="preserve">HP550L</t>
  </si>
  <si>
    <t xml:space="preserve">HO #4 manual left turnout, R550 mm new-standard. Spring turnout function; can be electrified.</t>
  </si>
  <si>
    <t xml:space="preserve">2-853</t>
  </si>
  <si>
    <t xml:space="preserve">HO #4 Manual Right Turnout w/ R550mm</t>
  </si>
  <si>
    <t xml:space="preserve">HP550R</t>
  </si>
  <si>
    <t xml:space="preserve">HO #4 manual right turnout, R550 mm.</t>
  </si>
  <si>
    <t xml:space="preserve">2-840</t>
  </si>
  <si>
    <t xml:space="preserve">HO #4 Manual Left Turnout 246mm w/ R490-22.5</t>
  </si>
  <si>
    <t xml:space="preserve">HP490L</t>
  </si>
  <si>
    <t xml:space="preserve">HO #4 manual left turnout 246 mm, R490 22.5°. Can be electrified.</t>
  </si>
  <si>
    <t xml:space="preserve">2-841</t>
  </si>
  <si>
    <t xml:space="preserve">HO #4 Manual Right Turnout 246mm w/ R490-22.5</t>
  </si>
  <si>
    <t xml:space="preserve">HP490R</t>
  </si>
  <si>
    <t xml:space="preserve">HO #4 manual right turnout 246 mm, R490 22.5°.</t>
  </si>
  <si>
    <t xml:space="preserve">2-860</t>
  </si>
  <si>
    <t xml:space="preserve">HO #6 Powered Left Turnout 492mm w/ R867mm</t>
  </si>
  <si>
    <t xml:space="preserve">EP867L</t>
  </si>
  <si>
    <t xml:space="preserve">19 3/8"</t>
  </si>
  <si>
    <t xml:space="preserve">HO #6 powered left turnout 492 mm. Built-in DC turnout machine. Both Power-Routing and Non-Power-Routing modes.</t>
  </si>
  <si>
    <t xml:space="preserve">2-861</t>
  </si>
  <si>
    <t xml:space="preserve">HO #6 Powered Right Turnout 492mm w/ R867mm</t>
  </si>
  <si>
    <t xml:space="preserve">EP867R</t>
  </si>
  <si>
    <t xml:space="preserve">HO #6 powered right turnout 492 mm.</t>
  </si>
  <si>
    <t xml:space="preserve">2-503</t>
  </si>
  <si>
    <t xml:space="preserve">Machine</t>
  </si>
  <si>
    <t xml:space="preserve">HO DC Turnout Machine Left</t>
  </si>
  <si>
    <t xml:space="preserve">DC turnout machine to electrify HP490L/HP550L/HP867L manual turnouts.</t>
  </si>
  <si>
    <t xml:space="preserve">2-504</t>
  </si>
  <si>
    <t xml:space="preserve">HO DC Turnout Machine Right</t>
  </si>
  <si>
    <t xml:space="preserve">DC turnout machine for right-hand manual turnouts.</t>
  </si>
  <si>
    <t xml:space="preserve">5-051</t>
  </si>
  <si>
    <t xml:space="preserve">HO Double Track Catenary Poles</t>
  </si>
  <si>
    <t xml:space="preserve">Concrete-pole/truss-beam arch catenary, 60 mm double-track spacing. For curves R550/R610, keep cars under 262 mm. Includes 2 tension adjusters.</t>
  </si>
  <si>
    <t xml:space="preserve">5-052</t>
  </si>
  <si>
    <t xml:space="preserve">HO Single Track Catenary Poles</t>
  </si>
  <si>
    <t xml:space="preserve">Single-track concrete catenary, 2 bracket types. R550+ recommended.</t>
  </si>
  <si>
    <t xml:space="preserve">5-053</t>
  </si>
  <si>
    <t xml:space="preserve">Double Wide Warren</t>
  </si>
  <si>
    <t xml:space="preserve">HO Double Track Wide Warren Brace Catenary Poles</t>
  </si>
  <si>
    <t xml:space="preserve">Steel-truss arch catenary, prototype-faithful. For tight curves/superelevated with long cars. 60 mm spacing + 2 tension adjusters.</t>
  </si>
  <si>
    <t xml:space="preserve">5-054</t>
  </si>
  <si>
    <t xml:space="preserve">Single Wide</t>
  </si>
  <si>
    <t xml:space="preserve">HO Single Wide Track Catenary Poles</t>
  </si>
  <si>
    <t xml:space="preserve">Wider version of 5-052 for tighter curves/superelevated with longer cars.</t>
  </si>
  <si>
    <t xml:space="preserve">2-502</t>
  </si>
  <si>
    <t xml:space="preserve">Specialty</t>
  </si>
  <si>
    <t xml:space="preserve">HO Rerailer</t>
  </si>
  <si>
    <t xml:space="preserve">Slide-on HO rerailer — quickly re-rail derailed cars/locos.</t>
  </si>
  <si>
    <t xml:space="preserve">24-815</t>
  </si>
  <si>
    <t xml:space="preserve">UniJoiner</t>
  </si>
  <si>
    <t xml:space="preserve">Standard UniJoiner — connects Unitrack track segments with steady electrification, removable, swappable.</t>
  </si>
  <si>
    <t xml:space="preserve">24-819</t>
  </si>
  <si>
    <t xml:space="preserve">UniJoiner Brown</t>
  </si>
  <si>
    <t xml:space="preserve">Brown UniJoiner — for wooden-tie tracks.</t>
  </si>
  <si>
    <t xml:space="preserve">24-820</t>
  </si>
  <si>
    <t xml:space="preserve">1/2 Joiner Brown</t>
  </si>
  <si>
    <t xml:space="preserve">Half-length brown joiners for straight single deck-girder bridge connections. NOT for #4 turnouts.</t>
  </si>
  <si>
    <t xml:space="preserve">24-816</t>
  </si>
  <si>
    <t xml:space="preserve">Insulated</t>
  </si>
  <si>
    <t xml:space="preserve">Insulated UniJoiner</t>
  </si>
  <si>
    <t xml:space="preserve">Insulated joiners — black; divides track sections electrically.</t>
  </si>
  <si>
    <t xml:space="preserve">24-818</t>
  </si>
  <si>
    <t xml:space="preserve">Terminal</t>
  </si>
  <si>
    <t xml:space="preserve">Terminal UniJoiners</t>
  </si>
  <si>
    <t xml:space="preserve">1 pair</t>
  </si>
  <si>
    <t xml:space="preserve">Replace regular Unijoiners to create a power-feed point where a feeder track can't reach. Cable 2'11-7/16".</t>
  </si>
  <si>
    <t xml:space="preserve">24-825-2</t>
  </si>
  <si>
    <t xml:space="preserve">DC Extension Cord 90cm</t>
  </si>
  <si>
    <t xml:space="preserve">90 cm DC extension cord, white connector for Unitrack DC connection.</t>
  </si>
  <si>
    <t xml:space="preserve">24-828</t>
  </si>
  <si>
    <t xml:space="preserve">Double Track Power</t>
  </si>
  <si>
    <t xml:space="preserve">Double Track Power Cord</t>
  </si>
  <si>
    <t xml:space="preserve">Specific feeder cable for double-track viaduct, connects to viaduct bottom. 2'11-7/16".</t>
  </si>
  <si>
    <t xml:space="preserve">24-834</t>
  </si>
  <si>
    <t xml:space="preserve">DC Extension 2m</t>
  </si>
  <si>
    <t xml:space="preserve">DC Extension Cord 2m</t>
  </si>
  <si>
    <t xml:space="preserve">2.2 yd</t>
  </si>
  <si>
    <t xml:space="preserve">DC extension cord 2 m (78 3/4").</t>
  </si>
  <si>
    <t xml:space="preserve">24-826</t>
  </si>
  <si>
    <t xml:space="preserve">AC Extension</t>
  </si>
  <si>
    <t xml:space="preserve">AC Extension Cord 90cm</t>
  </si>
  <si>
    <t xml:space="preserve">AC extension cord between accessory adapter and brown-connector accessories.</t>
  </si>
  <si>
    <t xml:space="preserve">24-833</t>
  </si>
  <si>
    <t xml:space="preserve">3-Way Extension</t>
  </si>
  <si>
    <t xml:space="preserve">3-Way Extension Cord 30cm</t>
  </si>
  <si>
    <t xml:space="preserve">11 13/16"</t>
  </si>
  <si>
    <t xml:space="preserve">3-outlet extension cord to feed multiple places on layout.</t>
  </si>
  <si>
    <t xml:space="preserve">28-930</t>
  </si>
  <si>
    <t xml:space="preserve">5-Way Extension</t>
  </si>
  <si>
    <t xml:space="preserve">5-Way Extension Cord 30cm</t>
  </si>
  <si>
    <t xml:space="preserve">5-outlet extension cord.</t>
  </si>
  <si>
    <t xml:space="preserve">24-842</t>
  </si>
  <si>
    <t xml:space="preserve">DC Converter</t>
  </si>
  <si>
    <t xml:space="preserve">DC Converter for Turnout Control Switches</t>
  </si>
  <si>
    <t xml:space="preserve">AC/DC converter for non-Kato power packs to control Kato Turnout Control Switch.</t>
  </si>
  <si>
    <t xml:space="preserve">24-843</t>
  </si>
  <si>
    <t xml:space="preserve">Power Pack Adapter</t>
  </si>
  <si>
    <t xml:space="preserve">Power Pack Adapter Cord 90cm</t>
  </si>
  <si>
    <t xml:space="preserve">Adapter cable for non-Kato power packs to feed track power to Unitrack feeder.</t>
  </si>
  <si>
    <t xml:space="preserve">24-840BK</t>
  </si>
  <si>
    <t xml:space="preserve">Turnout Control</t>
  </si>
  <si>
    <t xml:space="preserve">Turnout Control Switch Black</t>
  </si>
  <si>
    <t xml:space="preserve">Controller for Unitrack turnouts. Needs DC12V from Kato Power Pack or 24-842 adapter.</t>
  </si>
  <si>
    <t xml:space="preserve">24-841</t>
  </si>
  <si>
    <t xml:space="preserve">Turnout Extension</t>
  </si>
  <si>
    <t xml:space="preserve">Turnout Extension Cord 90cm</t>
  </si>
  <si>
    <t xml:space="preserve">Extension cable for turnouts far from controller.</t>
  </si>
  <si>
    <t xml:space="preserve">24-000</t>
  </si>
  <si>
    <t xml:space="preserve">N Scale</t>
  </si>
  <si>
    <t xml:space="preserve">N Scale Rerailer</t>
  </si>
  <si>
    <t xml:space="preserve">N-scale rerailer (and UniJoiner remover included). Matches 33/66 mm double-track spacing and 150 mm.</t>
  </si>
  <si>
    <t xml:space="preserve">22-018BK-1</t>
  </si>
  <si>
    <t xml:space="preserve">Power Pack</t>
  </si>
  <si>
    <t xml:space="preserve">Standard SX</t>
  </si>
  <si>
    <t xml:space="preserve">Power Pack Standard SX Black</t>
  </si>
  <si>
    <t xml:space="preserve">DC power pack 1.2 A rated, slow-speed-capable; AC adapter sold separately. White terminal car output 0-12V (N) / 0-16V (HO); side terminals 12 V (N) / 16 V (HO). Manual reset.</t>
  </si>
  <si>
    <t xml:space="preserve">22-082</t>
  </si>
  <si>
    <t xml:space="preserve">Power Supply</t>
  </si>
  <si>
    <t xml:space="preserve">12V N</t>
  </si>
  <si>
    <t xml:space="preserve">Kato Power Supply 12V N Scale</t>
  </si>
  <si>
    <t xml:space="preserve">N scale transformer for SX Power Pack / Power Supply Connector / Analog Sound Box. AC 100-240V → DC 13.5V 2.2A.</t>
  </si>
  <si>
    <t xml:space="preserve">22-083</t>
  </si>
  <si>
    <t xml:space="preserve">16V HO</t>
  </si>
  <si>
    <t xml:space="preserve">Kato Power Supply 16V HO Scale</t>
  </si>
  <si>
    <t xml:space="preserve">HO scale transformer. AC 100-240V → DC 17V 2.1A.</t>
  </si>
  <si>
    <t xml:space="preserve">22-081</t>
  </si>
  <si>
    <t xml:space="preserve">Connector</t>
  </si>
  <si>
    <t xml:space="preserve">Power Supply Connector</t>
  </si>
  <si>
    <t xml:space="preserve">Feed power to accessories independent of Power Pack — via AC adapter. Side snap terminals + back green terminal. Output 0-12V (N) / 0-16V (HO) 2.0A. Overload protection.</t>
  </si>
  <si>
    <t xml:space="preserve">22-102-1</t>
  </si>
  <si>
    <t xml:space="preserve">Sound Box</t>
  </si>
  <si>
    <t xml:space="preserve">Analog</t>
  </si>
  <si>
    <t xml:space="preserve">Analog Soundbox</t>
  </si>
  <si>
    <t xml:space="preserve">Modular sound box for N/HO DC. Reads back-EMF to match sounds to loco effort. Works alone or with 22-019. Sound cards sold separately.</t>
  </si>
  <si>
    <t xml:space="preserve">22-019</t>
  </si>
  <si>
    <t xml:space="preserve">Controller</t>
  </si>
  <si>
    <t xml:space="preserve">Smart Device</t>
  </si>
  <si>
    <t xml:space="preserve">Smart Device Controller for Bluetooth</t>
  </si>
  <si>
    <t xml:space="preserve">Bluetooth controller for free Kato app. Multiple SDCs simultaneously; can pair with Sound Box. Total output 2.0A. Vehicle control 32 kHz PWM. iPhone 5+ / Android 5.0+. AC adapter sold separately.</t>
  </si>
  <si>
    <t xml:space="preserve">22-201-1</t>
  </si>
  <si>
    <t xml:space="preserve">Sound Card</t>
  </si>
  <si>
    <t xml:space="preserve">Diesel</t>
  </si>
  <si>
    <t xml:space="preserve">EMD 1st Generation Diesel Sound Card</t>
  </si>
  <si>
    <t xml:space="preserve">1 card</t>
  </si>
  <si>
    <t xml:space="preserve">Classic F and E units sound.</t>
  </si>
  <si>
    <t xml:space="preserve">22-202-1</t>
  </si>
  <si>
    <t xml:space="preserve">Steam</t>
  </si>
  <si>
    <t xml:space="preserve">FEF-3 and GS-4 Heavy Steam Sound Card</t>
  </si>
  <si>
    <t xml:space="preserve">Sound for large steam — FEF-3, GS-4.</t>
  </si>
  <si>
    <t xml:space="preserve">22-202-2</t>
  </si>
  <si>
    <t xml:space="preserve">EMD 3rd Generation Diesel Sound Card</t>
  </si>
  <si>
    <t xml:space="preserve">Modern EMDs: SD90/43MAC, SD70MAC, SD70ACe.</t>
  </si>
  <si>
    <t xml:space="preserve">22-202-3</t>
  </si>
  <si>
    <t xml:space="preserve">GE 3rd Generation Diesel Sound Card</t>
  </si>
  <si>
    <t xml:space="preserve">Modern GEs: P42, C44-9W, AC4400CW, ES44AC.</t>
  </si>
  <si>
    <t xml:space="preserve">22-202-4</t>
  </si>
  <si>
    <t xml:space="preserve">US Light Steam Sound Card</t>
  </si>
  <si>
    <t xml:space="preserve">Light-to-medium US steam (e.g., Heavy Mikado).</t>
  </si>
  <si>
    <t xml:space="preserve">22-203-1</t>
  </si>
  <si>
    <t xml:space="preserve">EMD 1st Generation Diesel with Turbo Sound Card</t>
  </si>
  <si>
    <t xml:space="preserve">Older turbocharged diesels (GP35).</t>
  </si>
  <si>
    <t xml:space="preserve">22-203-2</t>
  </si>
  <si>
    <t xml:space="preserve">EMD 2nd Generation Diesel with Turbo Sound Card</t>
  </si>
  <si>
    <t xml:space="preserve">Mid-range turbo diesels (SD40-2, SDP40F, F40PH, MP36PH).</t>
  </si>
  <si>
    <t xml:space="preserve">22-203-3</t>
  </si>
  <si>
    <t xml:space="preserve">ACS-64 Sound Card</t>
  </si>
  <si>
    <t xml:space="preserve">Prototypically accurate ACS-64 sounds.</t>
  </si>
  <si>
    <t xml:space="preserve">22-271-4</t>
  </si>
  <si>
    <t xml:space="preserve">Alco PA-1 Sound Card</t>
  </si>
  <si>
    <t xml:space="preserve">Alco PA-1 sound.</t>
  </si>
  <si>
    <t xml:space="preserve">22-221-5</t>
  </si>
  <si>
    <t xml:space="preserve">Big Boy Sound Card</t>
  </si>
  <si>
    <t xml:space="preserve">UP Big Boy steam sound.</t>
  </si>
  <si>
    <t xml:space="preserve">22-251-5</t>
  </si>
  <si>
    <t xml:space="preserve">Passenger Car On Board Sound Card</t>
  </si>
  <si>
    <t xml:space="preserve">Interior sounds of a passenger train.</t>
  </si>
  <si>
    <t xml:space="preserve">KATO UNITRACK — Resumen del Catálogo</t>
  </si>
  <si>
    <t xml:space="preserve">Fuente</t>
  </si>
  <si>
    <t xml:space="preserve">us_unitrack_1-40_20251028 (KATO HO &amp; N Track Catalog, 2023 MSRP)</t>
  </si>
  <si>
    <t xml:space="preserve">Total ítems</t>
  </si>
  <si>
    <t xml:space="preserve">Ítems N scale</t>
  </si>
  <si>
    <t xml:space="preserve">Ítems HO scale</t>
  </si>
  <si>
    <t xml:space="preserve">Ítems accesorios</t>
  </si>
  <si>
    <t xml:space="preserve">Precio mínimo (USD)</t>
  </si>
  <si>
    <t xml:space="preserve">Precio máximo (USD)</t>
  </si>
  <si>
    <t xml:space="preserve">Precio promedio (USD)</t>
  </si>
  <si>
    <t xml:space="preserve">Valor total catálogo (USD)</t>
  </si>
  <si>
    <t xml:space="preserve">Categoría</t>
  </si>
  <si>
    <t xml:space="preserve">Cantidad</t>
  </si>
  <si>
    <t xml:space="preserve">Subtotal USD</t>
  </si>
  <si>
    <t xml:space="preserve">Abreviatura</t>
  </si>
  <si>
    <t xml:space="preserve">Significado</t>
  </si>
  <si>
    <t xml:space="preserve">S###</t>
  </si>
  <si>
    <t xml:space="preserve">Straight Track + length in mm (e.g., S248 = 248 mm straight)</t>
  </si>
  <si>
    <t xml:space="preserve">R###</t>
  </si>
  <si>
    <t xml:space="preserve">Curved Track + radius in mm (e.g., R315 = 315 mm radius curve)</t>
  </si>
  <si>
    <t xml:space="preserve">R###-##</t>
  </si>
  <si>
    <t xml:space="preserve">Curve radius + angle (e.g., R315-45 = R315 mm × 45° curve)</t>
  </si>
  <si>
    <t xml:space="preserve">EP###</t>
  </si>
  <si>
    <t xml:space="preserve">Electric Turnout with radius (e.g., EP481 = electric turnout R481)</t>
  </si>
  <si>
    <t xml:space="preserve">HP###</t>
  </si>
  <si>
    <t xml:space="preserve">Manual Turnout with radius (e.g., HP867L = HO manual #6 left R867)</t>
  </si>
  <si>
    <t xml:space="preserve">X-L / X-R</t>
  </si>
  <si>
    <t xml:space="preserve">Crossing track with left/right angle</t>
  </si>
  <si>
    <t xml:space="preserve">W prefix (e.g., WS248)</t>
  </si>
  <si>
    <t xml:space="preserve">Double-track version of an item</t>
  </si>
  <si>
    <t xml:space="preserve">WS###PC</t>
  </si>
  <si>
    <t xml:space="preserve">Double-track concrete-tie straight</t>
  </si>
  <si>
    <t xml:space="preserve">WS###S</t>
  </si>
  <si>
    <t xml:space="preserve">Double-track slab roadbed straight</t>
  </si>
  <si>
    <t xml:space="preserve">WS###VS / WS###VPC</t>
  </si>
  <si>
    <t xml:space="preserve">Double-track viaduct straight</t>
  </si>
  <si>
    <t xml:space="preserve">WR###/###</t>
  </si>
  <si>
    <t xml:space="preserve">Double-track curve — outer/inner radius (e.g., WR414/381)</t>
  </si>
  <si>
    <t xml:space="preserve">WR###-22.5xxxAL/AR</t>
  </si>
  <si>
    <t xml:space="preserve">Double-track approach (easement) curve left/right</t>
  </si>
  <si>
    <t xml:space="preserve">S###F</t>
  </si>
  <si>
    <t xml:space="preserve">Feeder track + length</t>
  </si>
  <si>
    <t xml:space="preserve">S###U</t>
  </si>
  <si>
    <t xml:space="preserve">Uncoupling track + length</t>
  </si>
  <si>
    <t xml:space="preserve">S###RE</t>
  </si>
  <si>
    <t xml:space="preserve">Re-railer track + length</t>
  </si>
  <si>
    <t xml:space="preserve">S###B</t>
  </si>
  <si>
    <t xml:space="preserve">Bumper track + length</t>
  </si>
  <si>
    <t xml:space="preserve">S###V / S###VPC</t>
  </si>
  <si>
    <t xml:space="preserve">Single-track viaduct straight</t>
  </si>
  <si>
    <t xml:space="preserve">S###T</t>
  </si>
  <si>
    <t xml:space="preserve">Truss/bridge track + length</t>
  </si>
  <si>
    <t xml:space="preserve">AL / AR</t>
  </si>
  <si>
    <t xml:space="preserve">Approach track Left / Right</t>
  </si>
  <si>
    <t xml:space="preserve">PC</t>
  </si>
  <si>
    <t xml:space="preserve">Pre-stressed Concrete tie variant</t>
  </si>
  <si>
    <t xml:space="preserve">V (suffix)</t>
  </si>
  <si>
    <t xml:space="preserve">Viaduct version</t>
  </si>
  <si>
    <t xml:space="preserve">T (suffix)</t>
  </si>
  <si>
    <t xml:space="preserve">Bridge / truss</t>
  </si>
  <si>
    <t xml:space="preserve">LT</t>
  </si>
  <si>
    <t xml:space="preserve">Track with light</t>
  </si>
  <si>
    <t xml:space="preserve">U</t>
  </si>
  <si>
    <t xml:space="preserve">Uncoupling Track</t>
  </si>
  <si>
    <t xml:space="preserve">J</t>
  </si>
  <si>
    <t xml:space="preserve">Joint Track</t>
  </si>
  <si>
    <t xml:space="preserve">Code 80 (N)</t>
  </si>
  <si>
    <t xml:space="preserve">Rail height 2.03 mm — N scale Unitrack</t>
  </si>
  <si>
    <t xml:space="preserve">Code 83 (HO)</t>
  </si>
  <si>
    <t xml:space="preserve">Rail height 2.11 mm — HO scale Unitrack</t>
  </si>
  <si>
    <t xml:space="preserve">Carrying capacity N</t>
  </si>
  <si>
    <t xml:space="preserve">12 V × 3 A = 36 VA</t>
  </si>
  <si>
    <t xml:space="preserve">Carrying capacity HO</t>
  </si>
  <si>
    <t xml:space="preserve">16 V × 2 A = 32 VA</t>
  </si>
  <si>
    <t xml:space="preserve">Patented removable rail joiner; secure and swappable</t>
  </si>
  <si>
    <t xml:space="preserve">Special joiner used for viaducts/piers/bridges (24-817)</t>
  </si>
  <si>
    <t xml:space="preserve">Black, electrically divides track sections (24-816)</t>
  </si>
  <si>
    <t xml:space="preserve">Power-routing</t>
  </si>
  <si>
    <t xml:space="preserve">Turnout sends power only to selected branch</t>
  </si>
  <si>
    <t xml:space="preserve">Non-power-routing</t>
  </si>
  <si>
    <t xml:space="preserve">Both turnout branches always powered</t>
  </si>
  <si>
    <t xml:space="preserve">Superelevated</t>
  </si>
  <si>
    <t xml:space="preserve">Banked/canted curve for prototypical look</t>
  </si>
  <si>
    <t xml:space="preserve">Approach (easement)</t>
  </si>
  <si>
    <t xml:space="preserve">22.5° transition curve straight→banked curve</t>
  </si>
  <si>
    <t xml:space="preserve">DCC</t>
  </si>
  <si>
    <t xml:space="preserve">Digital Command Control — multiple-train control on same track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</si>
</sst>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1FA"/>
        <bgColor rgb="FFEFEFEF"/>
      </patternFill>
    </fill>
    <fill>
      <patternFill patternType="solid">
        <fgColor rgb="FFEFEFEF"/>
        <bgColor rgb="FFE8F1FA"/>
      </patternFill>
    </fill>
    <fill>
      <patternFill patternType="solid">
        <fgColor rgb="FFFFF4E5"/>
        <bgColor rgb="FFEFEF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F1FA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E5"/>
      <rgbColor rgb="FFE8F1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4" min="3" style="0" width="22"/>
    <col collapsed="false" customWidth="true" hidden="false" outlineLevel="0" max="5" min="5" style="0" width="5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70"/>
    <col collapsed="false" customWidth="true" hidden="false" outlineLevel="0" max="15" min="15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/>
      <c r="G2" s="2"/>
      <c r="H2" s="2"/>
      <c r="I2" s="2"/>
      <c r="J2" s="2"/>
      <c r="K2" s="2" t="s">
        <v>20</v>
      </c>
      <c r="L2" s="2"/>
      <c r="M2" s="3" t="n">
        <v>330</v>
      </c>
      <c r="N2" s="4" t="s">
        <v>21</v>
      </c>
      <c r="O2" s="2" t="n">
        <v>5</v>
      </c>
    </row>
    <row r="3" customFormat="false" ht="23.85" hidden="false" customHeight="false" outlineLevel="0" collapsed="false">
      <c r="A3" s="2" t="s">
        <v>22</v>
      </c>
      <c r="B3" s="2" t="s">
        <v>16</v>
      </c>
      <c r="C3" s="2" t="s">
        <v>17</v>
      </c>
      <c r="D3" s="2" t="s">
        <v>18</v>
      </c>
      <c r="E3" s="2" t="s">
        <v>23</v>
      </c>
      <c r="F3" s="2"/>
      <c r="G3" s="2"/>
      <c r="H3" s="2"/>
      <c r="I3" s="2"/>
      <c r="J3" s="2"/>
      <c r="K3" s="2" t="s">
        <v>20</v>
      </c>
      <c r="L3" s="2"/>
      <c r="M3" s="3" t="n">
        <v>330</v>
      </c>
      <c r="N3" s="4" t="s">
        <v>24</v>
      </c>
      <c r="O3" s="2" t="n">
        <v>5</v>
      </c>
    </row>
    <row r="4" customFormat="false" ht="15" hidden="false" customHeight="false" outlineLevel="0" collapsed="false">
      <c r="A4" s="2" t="s">
        <v>25</v>
      </c>
      <c r="B4" s="2" t="s">
        <v>16</v>
      </c>
      <c r="C4" s="2" t="s">
        <v>17</v>
      </c>
      <c r="D4" s="2" t="s">
        <v>18</v>
      </c>
      <c r="E4" s="2" t="s">
        <v>26</v>
      </c>
      <c r="F4" s="2"/>
      <c r="G4" s="2"/>
      <c r="H4" s="2"/>
      <c r="I4" s="2"/>
      <c r="J4" s="2"/>
      <c r="K4" s="2" t="s">
        <v>20</v>
      </c>
      <c r="L4" s="2"/>
      <c r="M4" s="3" t="n">
        <v>310</v>
      </c>
      <c r="N4" s="4" t="s">
        <v>27</v>
      </c>
      <c r="O4" s="2" t="n">
        <v>5</v>
      </c>
    </row>
    <row r="5" customFormat="false" ht="15" hidden="false" customHeight="false" outlineLevel="0" collapsed="false">
      <c r="A5" s="2" t="s">
        <v>28</v>
      </c>
      <c r="B5" s="2" t="s">
        <v>16</v>
      </c>
      <c r="C5" s="2" t="s">
        <v>17</v>
      </c>
      <c r="D5" s="2" t="s">
        <v>18</v>
      </c>
      <c r="E5" s="2" t="s">
        <v>29</v>
      </c>
      <c r="F5" s="2"/>
      <c r="G5" s="2"/>
      <c r="H5" s="2"/>
      <c r="I5" s="2"/>
      <c r="J5" s="2"/>
      <c r="K5" s="2" t="s">
        <v>20</v>
      </c>
      <c r="L5" s="2"/>
      <c r="M5" s="3" t="n">
        <v>350</v>
      </c>
      <c r="N5" s="4" t="s">
        <v>30</v>
      </c>
      <c r="O5" s="2" t="n">
        <v>5</v>
      </c>
    </row>
    <row r="6" customFormat="false" ht="15" hidden="false" customHeight="false" outlineLevel="0" collapsed="false">
      <c r="A6" s="2" t="s">
        <v>31</v>
      </c>
      <c r="B6" s="2" t="s">
        <v>16</v>
      </c>
      <c r="C6" s="2" t="s">
        <v>17</v>
      </c>
      <c r="D6" s="2" t="s">
        <v>18</v>
      </c>
      <c r="E6" s="2" t="s">
        <v>32</v>
      </c>
      <c r="F6" s="2"/>
      <c r="G6" s="2"/>
      <c r="H6" s="2"/>
      <c r="I6" s="2"/>
      <c r="J6" s="2"/>
      <c r="K6" s="2" t="s">
        <v>20</v>
      </c>
      <c r="L6" s="2"/>
      <c r="M6" s="3" t="n">
        <v>350</v>
      </c>
      <c r="N6" s="4" t="s">
        <v>33</v>
      </c>
      <c r="O6" s="2" t="n">
        <v>5</v>
      </c>
    </row>
    <row r="7" customFormat="false" ht="15" hidden="false" customHeight="false" outlineLevel="0" collapsed="false">
      <c r="A7" s="2" t="s">
        <v>34</v>
      </c>
      <c r="B7" s="2" t="s">
        <v>16</v>
      </c>
      <c r="C7" s="2" t="s">
        <v>17</v>
      </c>
      <c r="D7" s="2" t="s">
        <v>18</v>
      </c>
      <c r="E7" s="2" t="s">
        <v>35</v>
      </c>
      <c r="F7" s="2" t="s">
        <v>36</v>
      </c>
      <c r="G7" s="2"/>
      <c r="H7" s="2"/>
      <c r="I7" s="2"/>
      <c r="J7" s="2"/>
      <c r="K7" s="2" t="s">
        <v>20</v>
      </c>
      <c r="L7" s="2"/>
      <c r="M7" s="3" t="n">
        <v>360</v>
      </c>
      <c r="N7" s="4" t="s">
        <v>37</v>
      </c>
      <c r="O7" s="2" t="n">
        <v>5</v>
      </c>
    </row>
    <row r="8" customFormat="false" ht="15" hidden="false" customHeight="false" outlineLevel="0" collapsed="false">
      <c r="A8" s="2" t="s">
        <v>38</v>
      </c>
      <c r="B8" s="2" t="s">
        <v>16</v>
      </c>
      <c r="C8" s="2" t="s">
        <v>17</v>
      </c>
      <c r="D8" s="2" t="s">
        <v>18</v>
      </c>
      <c r="E8" s="2" t="s">
        <v>39</v>
      </c>
      <c r="F8" s="2" t="s">
        <v>40</v>
      </c>
      <c r="G8" s="2"/>
      <c r="H8" s="2"/>
      <c r="I8" s="2"/>
      <c r="J8" s="2"/>
      <c r="K8" s="2" t="s">
        <v>20</v>
      </c>
      <c r="L8" s="2"/>
      <c r="M8" s="3" t="n">
        <v>330</v>
      </c>
      <c r="N8" s="4" t="s">
        <v>41</v>
      </c>
      <c r="O8" s="2" t="n">
        <v>5</v>
      </c>
    </row>
    <row r="9" customFormat="false" ht="15" hidden="false" customHeight="false" outlineLevel="0" collapsed="false">
      <c r="A9" s="2" t="s">
        <v>42</v>
      </c>
      <c r="B9" s="2" t="s">
        <v>16</v>
      </c>
      <c r="C9" s="2" t="s">
        <v>17</v>
      </c>
      <c r="D9" s="2" t="s">
        <v>43</v>
      </c>
      <c r="E9" s="2" t="s">
        <v>44</v>
      </c>
      <c r="F9" s="2" t="s">
        <v>45</v>
      </c>
      <c r="G9" s="2"/>
      <c r="H9" s="2"/>
      <c r="I9" s="2"/>
      <c r="J9" s="2"/>
      <c r="K9" s="2" t="s">
        <v>20</v>
      </c>
      <c r="L9" s="2" t="s">
        <v>46</v>
      </c>
      <c r="M9" s="3" t="n">
        <v>350</v>
      </c>
      <c r="N9" s="4" t="s">
        <v>47</v>
      </c>
      <c r="O9" s="2" t="n">
        <v>5</v>
      </c>
    </row>
    <row r="10" customFormat="false" ht="15" hidden="false" customHeight="false" outlineLevel="0" collapsed="false">
      <c r="A10" s="2" t="s">
        <v>48</v>
      </c>
      <c r="B10" s="2" t="s">
        <v>16</v>
      </c>
      <c r="C10" s="2" t="s">
        <v>17</v>
      </c>
      <c r="D10" s="2" t="s">
        <v>43</v>
      </c>
      <c r="E10" s="2" t="s">
        <v>49</v>
      </c>
      <c r="F10" s="2" t="s">
        <v>45</v>
      </c>
      <c r="G10" s="2"/>
      <c r="H10" s="2"/>
      <c r="I10" s="2"/>
      <c r="J10" s="2"/>
      <c r="K10" s="2" t="s">
        <v>20</v>
      </c>
      <c r="L10" s="2" t="s">
        <v>50</v>
      </c>
      <c r="M10" s="3" t="n">
        <v>350</v>
      </c>
      <c r="N10" s="4" t="s">
        <v>51</v>
      </c>
      <c r="O10" s="2" t="n">
        <v>5</v>
      </c>
    </row>
    <row r="11" customFormat="false" ht="15" hidden="false" customHeight="false" outlineLevel="0" collapsed="false">
      <c r="A11" s="2" t="s">
        <v>52</v>
      </c>
      <c r="B11" s="2" t="s">
        <v>16</v>
      </c>
      <c r="C11" s="2" t="s">
        <v>17</v>
      </c>
      <c r="D11" s="2" t="s">
        <v>43</v>
      </c>
      <c r="E11" s="2" t="s">
        <v>53</v>
      </c>
      <c r="F11" s="2" t="s">
        <v>45</v>
      </c>
      <c r="G11" s="2"/>
      <c r="H11" s="2"/>
      <c r="I11" s="2"/>
      <c r="J11" s="2"/>
      <c r="K11" s="2" t="s">
        <v>20</v>
      </c>
      <c r="L11" s="2" t="s">
        <v>54</v>
      </c>
      <c r="M11" s="3" t="n">
        <v>350</v>
      </c>
      <c r="N11" s="4" t="s">
        <v>55</v>
      </c>
      <c r="O11" s="2" t="n">
        <v>5</v>
      </c>
    </row>
    <row r="12" customFormat="false" ht="23.85" hidden="false" customHeight="false" outlineLevel="0" collapsed="false">
      <c r="A12" s="2" t="s">
        <v>56</v>
      </c>
      <c r="B12" s="2" t="s">
        <v>16</v>
      </c>
      <c r="C12" s="2" t="s">
        <v>17</v>
      </c>
      <c r="D12" s="2" t="s">
        <v>43</v>
      </c>
      <c r="E12" s="2" t="s">
        <v>57</v>
      </c>
      <c r="F12" s="2" t="s">
        <v>58</v>
      </c>
      <c r="G12" s="2"/>
      <c r="H12" s="2"/>
      <c r="I12" s="2"/>
      <c r="J12" s="2"/>
      <c r="K12" s="2" t="s">
        <v>20</v>
      </c>
      <c r="L12" s="2" t="s">
        <v>59</v>
      </c>
      <c r="M12" s="3" t="n">
        <v>290</v>
      </c>
      <c r="N12" s="4" t="s">
        <v>60</v>
      </c>
      <c r="O12" s="2" t="n">
        <v>5</v>
      </c>
    </row>
    <row r="13" customFormat="false" ht="15" hidden="false" customHeight="false" outlineLevel="0" collapsed="false">
      <c r="A13" s="2" t="s">
        <v>61</v>
      </c>
      <c r="B13" s="2" t="s">
        <v>16</v>
      </c>
      <c r="C13" s="2" t="s">
        <v>17</v>
      </c>
      <c r="D13" s="2" t="s">
        <v>43</v>
      </c>
      <c r="E13" s="2" t="s">
        <v>62</v>
      </c>
      <c r="F13" s="2" t="s">
        <v>63</v>
      </c>
      <c r="G13" s="2"/>
      <c r="H13" s="2"/>
      <c r="I13" s="2"/>
      <c r="J13" s="2"/>
      <c r="K13" s="2" t="s">
        <v>20</v>
      </c>
      <c r="L13" s="2" t="s">
        <v>64</v>
      </c>
      <c r="M13" s="3" t="n">
        <v>290</v>
      </c>
      <c r="N13" s="4" t="s">
        <v>65</v>
      </c>
      <c r="O13" s="2" t="n">
        <v>5</v>
      </c>
    </row>
    <row r="14" customFormat="false" ht="15" hidden="false" customHeight="false" outlineLevel="0" collapsed="false">
      <c r="A14" s="2" t="s">
        <v>66</v>
      </c>
      <c r="B14" s="2" t="s">
        <v>16</v>
      </c>
      <c r="C14" s="2" t="s">
        <v>17</v>
      </c>
      <c r="D14" s="2" t="s">
        <v>43</v>
      </c>
      <c r="E14" s="2" t="s">
        <v>67</v>
      </c>
      <c r="F14" s="2" t="s">
        <v>58</v>
      </c>
      <c r="G14" s="2"/>
      <c r="H14" s="2"/>
      <c r="I14" s="2"/>
      <c r="J14" s="2"/>
      <c r="K14" s="2" t="s">
        <v>20</v>
      </c>
      <c r="L14" s="2" t="s">
        <v>68</v>
      </c>
      <c r="M14" s="3" t="n">
        <v>290</v>
      </c>
      <c r="N14" s="4" t="s">
        <v>69</v>
      </c>
      <c r="O14" s="2" t="n">
        <v>5</v>
      </c>
    </row>
    <row r="15" customFormat="false" ht="15" hidden="false" customHeight="false" outlineLevel="0" collapsed="false">
      <c r="A15" s="2" t="s">
        <v>70</v>
      </c>
      <c r="B15" s="2" t="s">
        <v>16</v>
      </c>
      <c r="C15" s="2" t="s">
        <v>17</v>
      </c>
      <c r="D15" s="2" t="s">
        <v>43</v>
      </c>
      <c r="E15" s="2" t="s">
        <v>71</v>
      </c>
      <c r="F15" s="2" t="s">
        <v>58</v>
      </c>
      <c r="G15" s="2"/>
      <c r="H15" s="2"/>
      <c r="I15" s="2"/>
      <c r="J15" s="2"/>
      <c r="K15" s="2" t="s">
        <v>20</v>
      </c>
      <c r="L15" s="2" t="s">
        <v>50</v>
      </c>
      <c r="M15" s="3" t="n">
        <v>290</v>
      </c>
      <c r="N15" s="4" t="s">
        <v>72</v>
      </c>
      <c r="O15" s="2" t="n">
        <v>5</v>
      </c>
    </row>
    <row r="16" customFormat="false" ht="15" hidden="false" customHeight="false" outlineLevel="0" collapsed="false">
      <c r="A16" s="2" t="s">
        <v>73</v>
      </c>
      <c r="B16" s="2" t="s">
        <v>16</v>
      </c>
      <c r="C16" s="2" t="s">
        <v>17</v>
      </c>
      <c r="D16" s="2" t="s">
        <v>43</v>
      </c>
      <c r="E16" s="2" t="s">
        <v>74</v>
      </c>
      <c r="F16" s="2" t="s">
        <v>58</v>
      </c>
      <c r="G16" s="2"/>
      <c r="H16" s="2"/>
      <c r="I16" s="2"/>
      <c r="J16" s="2"/>
      <c r="K16" s="2" t="s">
        <v>20</v>
      </c>
      <c r="L16" s="2" t="s">
        <v>75</v>
      </c>
      <c r="M16" s="3" t="n">
        <v>290</v>
      </c>
      <c r="N16" s="4" t="s">
        <v>76</v>
      </c>
      <c r="O16" s="2" t="n">
        <v>5</v>
      </c>
    </row>
    <row r="17" customFormat="false" ht="15" hidden="false" customHeight="false" outlineLevel="0" collapsed="false">
      <c r="A17" s="2" t="s">
        <v>77</v>
      </c>
      <c r="B17" s="2" t="s">
        <v>16</v>
      </c>
      <c r="C17" s="2" t="s">
        <v>17</v>
      </c>
      <c r="D17" s="2" t="s">
        <v>43</v>
      </c>
      <c r="E17" s="2" t="s">
        <v>78</v>
      </c>
      <c r="F17" s="2" t="s">
        <v>79</v>
      </c>
      <c r="G17" s="2"/>
      <c r="H17" s="2"/>
      <c r="I17" s="2"/>
      <c r="J17" s="2"/>
      <c r="K17" s="2" t="s">
        <v>20</v>
      </c>
      <c r="L17" s="2" t="s">
        <v>80</v>
      </c>
      <c r="M17" s="3" t="n">
        <v>290</v>
      </c>
      <c r="N17" s="4" t="s">
        <v>81</v>
      </c>
      <c r="O17" s="2" t="n">
        <v>5</v>
      </c>
    </row>
    <row r="18" customFormat="false" ht="15" hidden="false" customHeight="false" outlineLevel="0" collapsed="false">
      <c r="A18" s="2" t="s">
        <v>82</v>
      </c>
      <c r="B18" s="2" t="s">
        <v>16</v>
      </c>
      <c r="C18" s="2" t="s">
        <v>17</v>
      </c>
      <c r="D18" s="2" t="s">
        <v>43</v>
      </c>
      <c r="E18" s="2" t="s">
        <v>83</v>
      </c>
      <c r="F18" s="2" t="s">
        <v>58</v>
      </c>
      <c r="G18" s="2"/>
      <c r="H18" s="2"/>
      <c r="I18" s="2"/>
      <c r="J18" s="2"/>
      <c r="K18" s="2" t="s">
        <v>20</v>
      </c>
      <c r="L18" s="2" t="s">
        <v>84</v>
      </c>
      <c r="M18" s="3" t="n">
        <v>290</v>
      </c>
      <c r="N18" s="4" t="s">
        <v>85</v>
      </c>
      <c r="O18" s="2" t="n">
        <v>5</v>
      </c>
    </row>
    <row r="19" customFormat="false" ht="35.05" hidden="false" customHeight="false" outlineLevel="0" collapsed="false">
      <c r="A19" s="2" t="s">
        <v>86</v>
      </c>
      <c r="B19" s="2" t="s">
        <v>16</v>
      </c>
      <c r="C19" s="2" t="s">
        <v>87</v>
      </c>
      <c r="D19" s="2" t="s">
        <v>88</v>
      </c>
      <c r="E19" s="2" t="s">
        <v>89</v>
      </c>
      <c r="F19" s="2" t="s">
        <v>90</v>
      </c>
      <c r="G19" s="2"/>
      <c r="H19" s="2"/>
      <c r="I19" s="2"/>
      <c r="J19" s="2"/>
      <c r="K19" s="2" t="s">
        <v>20</v>
      </c>
      <c r="L19" s="2"/>
      <c r="M19" s="3" t="n">
        <v>120</v>
      </c>
      <c r="N19" s="4" t="s">
        <v>91</v>
      </c>
      <c r="O19" s="2" t="n">
        <v>5</v>
      </c>
    </row>
    <row r="20" customFormat="false" ht="35.05" hidden="false" customHeight="false" outlineLevel="0" collapsed="false">
      <c r="A20" s="2" t="s">
        <v>92</v>
      </c>
      <c r="B20" s="2" t="s">
        <v>16</v>
      </c>
      <c r="C20" s="2" t="s">
        <v>87</v>
      </c>
      <c r="D20" s="2" t="s">
        <v>88</v>
      </c>
      <c r="E20" s="2" t="s">
        <v>93</v>
      </c>
      <c r="F20" s="2" t="s">
        <v>94</v>
      </c>
      <c r="G20" s="2"/>
      <c r="H20" s="2"/>
      <c r="I20" s="2"/>
      <c r="J20" s="2"/>
      <c r="K20" s="2" t="s">
        <v>20</v>
      </c>
      <c r="L20" s="2"/>
      <c r="M20" s="3" t="n">
        <v>220</v>
      </c>
      <c r="N20" s="4" t="s">
        <v>95</v>
      </c>
      <c r="O20" s="2" t="n">
        <v>5</v>
      </c>
    </row>
    <row r="21" customFormat="false" ht="23.85" hidden="false" customHeight="false" outlineLevel="0" collapsed="false">
      <c r="A21" s="2" t="s">
        <v>96</v>
      </c>
      <c r="B21" s="2" t="s">
        <v>16</v>
      </c>
      <c r="C21" s="2" t="s">
        <v>97</v>
      </c>
      <c r="D21" s="2" t="s">
        <v>98</v>
      </c>
      <c r="E21" s="2" t="s">
        <v>99</v>
      </c>
      <c r="F21" s="2" t="s">
        <v>100</v>
      </c>
      <c r="G21" s="2"/>
      <c r="H21" s="2"/>
      <c r="I21" s="2"/>
      <c r="J21" s="2"/>
      <c r="K21" s="2" t="s">
        <v>20</v>
      </c>
      <c r="L21" s="2"/>
      <c r="M21" s="3" t="n">
        <v>100</v>
      </c>
      <c r="N21" s="4" t="s">
        <v>101</v>
      </c>
      <c r="O21" s="2" t="n">
        <v>6</v>
      </c>
    </row>
    <row r="22" customFormat="false" ht="23.85" hidden="false" customHeight="false" outlineLevel="0" collapsed="false">
      <c r="A22" s="2" t="s">
        <v>102</v>
      </c>
      <c r="B22" s="2" t="s">
        <v>16</v>
      </c>
      <c r="C22" s="2" t="s">
        <v>97</v>
      </c>
      <c r="D22" s="2" t="s">
        <v>98</v>
      </c>
      <c r="E22" s="2" t="s">
        <v>103</v>
      </c>
      <c r="F22" s="2" t="s">
        <v>104</v>
      </c>
      <c r="G22" s="2"/>
      <c r="H22" s="2"/>
      <c r="I22" s="2"/>
      <c r="J22" s="2"/>
      <c r="K22" s="2" t="s">
        <v>20</v>
      </c>
      <c r="L22" s="2"/>
      <c r="M22" s="3" t="n">
        <v>120</v>
      </c>
      <c r="N22" s="4" t="s">
        <v>105</v>
      </c>
      <c r="O22" s="2" t="n">
        <v>6</v>
      </c>
    </row>
    <row r="23" customFormat="false" ht="23.85" hidden="false" customHeight="false" outlineLevel="0" collapsed="false">
      <c r="A23" s="2" t="s">
        <v>106</v>
      </c>
      <c r="B23" s="2" t="s">
        <v>16</v>
      </c>
      <c r="C23" s="2" t="s">
        <v>97</v>
      </c>
      <c r="D23" s="2" t="s">
        <v>98</v>
      </c>
      <c r="E23" s="2" t="s">
        <v>107</v>
      </c>
      <c r="F23" s="2" t="s">
        <v>108</v>
      </c>
      <c r="G23" s="2"/>
      <c r="H23" s="2"/>
      <c r="I23" s="2"/>
      <c r="J23" s="2"/>
      <c r="K23" s="2" t="s">
        <v>20</v>
      </c>
      <c r="L23" s="2"/>
      <c r="M23" s="3" t="n">
        <v>145</v>
      </c>
      <c r="N23" s="4" t="s">
        <v>109</v>
      </c>
      <c r="O23" s="2" t="n">
        <v>6</v>
      </c>
    </row>
    <row r="24" customFormat="false" ht="23.85" hidden="false" customHeight="false" outlineLevel="0" collapsed="false">
      <c r="A24" s="2" t="s">
        <v>110</v>
      </c>
      <c r="B24" s="2" t="s">
        <v>16</v>
      </c>
      <c r="C24" s="2" t="s">
        <v>97</v>
      </c>
      <c r="D24" s="2" t="s">
        <v>98</v>
      </c>
      <c r="E24" s="2" t="s">
        <v>111</v>
      </c>
      <c r="F24" s="2" t="s">
        <v>112</v>
      </c>
      <c r="G24" s="2"/>
      <c r="H24" s="2"/>
      <c r="I24" s="2"/>
      <c r="J24" s="2"/>
      <c r="K24" s="2" t="s">
        <v>20</v>
      </c>
      <c r="L24" s="2"/>
      <c r="M24" s="3" t="n">
        <v>120</v>
      </c>
      <c r="N24" s="4" t="s">
        <v>113</v>
      </c>
      <c r="O24" s="2" t="n">
        <v>6</v>
      </c>
    </row>
    <row r="25" customFormat="false" ht="23.85" hidden="false" customHeight="false" outlineLevel="0" collapsed="false">
      <c r="A25" s="2" t="s">
        <v>114</v>
      </c>
      <c r="B25" s="2" t="s">
        <v>16</v>
      </c>
      <c r="C25" s="2" t="s">
        <v>97</v>
      </c>
      <c r="D25" s="2" t="s">
        <v>98</v>
      </c>
      <c r="E25" s="2" t="s">
        <v>115</v>
      </c>
      <c r="F25" s="2" t="s">
        <v>116</v>
      </c>
      <c r="G25" s="2"/>
      <c r="H25" s="2"/>
      <c r="I25" s="2"/>
      <c r="J25" s="2"/>
      <c r="K25" s="2" t="s">
        <v>20</v>
      </c>
      <c r="L25" s="2"/>
      <c r="M25" s="3" t="n">
        <v>60</v>
      </c>
      <c r="N25" s="4" t="s">
        <v>117</v>
      </c>
      <c r="O25" s="2" t="n">
        <v>6</v>
      </c>
    </row>
    <row r="26" customFormat="false" ht="23.85" hidden="false" customHeight="false" outlineLevel="0" collapsed="false">
      <c r="A26" s="2" t="s">
        <v>118</v>
      </c>
      <c r="B26" s="2" t="s">
        <v>16</v>
      </c>
      <c r="C26" s="2" t="s">
        <v>97</v>
      </c>
      <c r="D26" s="2" t="s">
        <v>98</v>
      </c>
      <c r="E26" s="2" t="s">
        <v>119</v>
      </c>
      <c r="F26" s="2" t="s">
        <v>120</v>
      </c>
      <c r="G26" s="2"/>
      <c r="H26" s="2"/>
      <c r="I26" s="2"/>
      <c r="J26" s="2"/>
      <c r="K26" s="2" t="s">
        <v>20</v>
      </c>
      <c r="L26" s="2"/>
      <c r="M26" s="3" t="n">
        <v>60</v>
      </c>
      <c r="N26" s="4" t="s">
        <v>121</v>
      </c>
      <c r="O26" s="2" t="n">
        <v>6</v>
      </c>
    </row>
    <row r="27" customFormat="false" ht="23.85" hidden="false" customHeight="false" outlineLevel="0" collapsed="false">
      <c r="A27" s="2" t="s">
        <v>122</v>
      </c>
      <c r="B27" s="2" t="s">
        <v>16</v>
      </c>
      <c r="C27" s="2" t="s">
        <v>97</v>
      </c>
      <c r="D27" s="2" t="s">
        <v>98</v>
      </c>
      <c r="E27" s="2" t="s">
        <v>123</v>
      </c>
      <c r="F27" s="2" t="s">
        <v>124</v>
      </c>
      <c r="G27" s="2"/>
      <c r="H27" s="2"/>
      <c r="I27" s="2"/>
      <c r="J27" s="2"/>
      <c r="K27" s="2" t="s">
        <v>20</v>
      </c>
      <c r="L27" s="2"/>
      <c r="M27" s="3" t="n">
        <v>90</v>
      </c>
      <c r="N27" s="4" t="s">
        <v>125</v>
      </c>
      <c r="O27" s="2" t="n">
        <v>6</v>
      </c>
    </row>
    <row r="28" customFormat="false" ht="35.05" hidden="false" customHeight="false" outlineLevel="0" collapsed="false">
      <c r="A28" s="2" t="s">
        <v>126</v>
      </c>
      <c r="B28" s="2" t="s">
        <v>16</v>
      </c>
      <c r="C28" s="2" t="s">
        <v>97</v>
      </c>
      <c r="D28" s="2" t="s">
        <v>127</v>
      </c>
      <c r="E28" s="2" t="s">
        <v>128</v>
      </c>
      <c r="F28" s="2" t="s">
        <v>129</v>
      </c>
      <c r="G28" s="2"/>
      <c r="H28" s="2"/>
      <c r="I28" s="2"/>
      <c r="J28" s="2"/>
      <c r="K28" s="2" t="s">
        <v>20</v>
      </c>
      <c r="L28" s="2"/>
      <c r="M28" s="3" t="n">
        <v>185</v>
      </c>
      <c r="N28" s="4" t="s">
        <v>130</v>
      </c>
      <c r="O28" s="2" t="n">
        <v>6</v>
      </c>
    </row>
    <row r="29" customFormat="false" ht="57.45" hidden="false" customHeight="false" outlineLevel="0" collapsed="false">
      <c r="A29" s="2" t="s">
        <v>131</v>
      </c>
      <c r="B29" s="2" t="s">
        <v>16</v>
      </c>
      <c r="C29" s="2" t="s">
        <v>97</v>
      </c>
      <c r="D29" s="2" t="s">
        <v>132</v>
      </c>
      <c r="E29" s="2" t="s">
        <v>133</v>
      </c>
      <c r="F29" s="2" t="s">
        <v>134</v>
      </c>
      <c r="G29" s="2"/>
      <c r="H29" s="2"/>
      <c r="I29" s="2"/>
      <c r="J29" s="2"/>
      <c r="K29" s="2" t="s">
        <v>20</v>
      </c>
      <c r="L29" s="2"/>
      <c r="M29" s="3" t="n">
        <v>225</v>
      </c>
      <c r="N29" s="4" t="s">
        <v>135</v>
      </c>
      <c r="O29" s="2" t="n">
        <v>7</v>
      </c>
    </row>
    <row r="30" customFormat="false" ht="35.05" hidden="false" customHeight="false" outlineLevel="0" collapsed="false">
      <c r="A30" s="2" t="s">
        <v>136</v>
      </c>
      <c r="B30" s="2" t="s">
        <v>16</v>
      </c>
      <c r="C30" s="2" t="s">
        <v>97</v>
      </c>
      <c r="D30" s="2" t="s">
        <v>132</v>
      </c>
      <c r="E30" s="2" t="s">
        <v>137</v>
      </c>
      <c r="F30" s="2" t="s">
        <v>138</v>
      </c>
      <c r="G30" s="2"/>
      <c r="H30" s="2"/>
      <c r="I30" s="2"/>
      <c r="J30" s="2"/>
      <c r="K30" s="2" t="s">
        <v>20</v>
      </c>
      <c r="L30" s="2"/>
      <c r="M30" s="3" t="n">
        <v>240</v>
      </c>
      <c r="N30" s="4" t="s">
        <v>139</v>
      </c>
      <c r="O30" s="2" t="n">
        <v>7</v>
      </c>
    </row>
    <row r="31" customFormat="false" ht="35.05" hidden="false" customHeight="false" outlineLevel="0" collapsed="false">
      <c r="A31" s="2" t="s">
        <v>140</v>
      </c>
      <c r="B31" s="2" t="s">
        <v>16</v>
      </c>
      <c r="C31" s="2" t="s">
        <v>97</v>
      </c>
      <c r="D31" s="2" t="s">
        <v>127</v>
      </c>
      <c r="E31" s="2" t="s">
        <v>141</v>
      </c>
      <c r="F31" s="2" t="s">
        <v>142</v>
      </c>
      <c r="G31" s="2"/>
      <c r="H31" s="2"/>
      <c r="I31" s="2"/>
      <c r="J31" s="2"/>
      <c r="K31" s="2" t="s">
        <v>20</v>
      </c>
      <c r="L31" s="2"/>
      <c r="M31" s="3" t="n">
        <v>180</v>
      </c>
      <c r="N31" s="4" t="s">
        <v>143</v>
      </c>
      <c r="O31" s="2" t="n">
        <v>7</v>
      </c>
    </row>
    <row r="32" customFormat="false" ht="23.85" hidden="false" customHeight="false" outlineLevel="0" collapsed="false">
      <c r="A32" s="2" t="s">
        <v>144</v>
      </c>
      <c r="B32" s="2" t="s">
        <v>16</v>
      </c>
      <c r="C32" s="2" t="s">
        <v>97</v>
      </c>
      <c r="D32" s="2" t="s">
        <v>127</v>
      </c>
      <c r="E32" s="2" t="s">
        <v>145</v>
      </c>
      <c r="F32" s="2" t="s">
        <v>146</v>
      </c>
      <c r="G32" s="2"/>
      <c r="H32" s="2"/>
      <c r="I32" s="2"/>
      <c r="J32" s="2"/>
      <c r="K32" s="2" t="s">
        <v>20</v>
      </c>
      <c r="L32" s="2"/>
      <c r="M32" s="3" t="n">
        <v>65</v>
      </c>
      <c r="N32" s="4" t="s">
        <v>147</v>
      </c>
      <c r="O32" s="2" t="n">
        <v>7</v>
      </c>
    </row>
    <row r="33" customFormat="false" ht="35.05" hidden="false" customHeight="false" outlineLevel="0" collapsed="false">
      <c r="A33" s="2" t="s">
        <v>148</v>
      </c>
      <c r="B33" s="2" t="s">
        <v>16</v>
      </c>
      <c r="C33" s="2" t="s">
        <v>97</v>
      </c>
      <c r="D33" s="2" t="s">
        <v>127</v>
      </c>
      <c r="E33" s="2" t="s">
        <v>149</v>
      </c>
      <c r="F33" s="2" t="s">
        <v>150</v>
      </c>
      <c r="G33" s="2"/>
      <c r="H33" s="2"/>
      <c r="I33" s="2"/>
      <c r="J33" s="2"/>
      <c r="K33" s="2" t="s">
        <v>20</v>
      </c>
      <c r="L33" s="2"/>
      <c r="M33" s="3" t="n">
        <v>210</v>
      </c>
      <c r="N33" s="4" t="s">
        <v>151</v>
      </c>
      <c r="O33" s="2" t="n">
        <v>7</v>
      </c>
    </row>
    <row r="34" customFormat="false" ht="35.05" hidden="false" customHeight="false" outlineLevel="0" collapsed="false">
      <c r="A34" s="2" t="s">
        <v>152</v>
      </c>
      <c r="B34" s="2" t="s">
        <v>16</v>
      </c>
      <c r="C34" s="2" t="s">
        <v>97</v>
      </c>
      <c r="D34" s="2" t="s">
        <v>153</v>
      </c>
      <c r="E34" s="2" t="s">
        <v>154</v>
      </c>
      <c r="F34" s="2" t="s">
        <v>155</v>
      </c>
      <c r="G34" s="2"/>
      <c r="H34" s="2"/>
      <c r="I34" s="2"/>
      <c r="J34" s="2"/>
      <c r="K34" s="2" t="s">
        <v>20</v>
      </c>
      <c r="L34" s="2"/>
      <c r="M34" s="3" t="n">
        <v>90</v>
      </c>
      <c r="N34" s="4" t="s">
        <v>156</v>
      </c>
      <c r="O34" s="2" t="n">
        <v>7</v>
      </c>
    </row>
    <row r="35" customFormat="false" ht="23.85" hidden="false" customHeight="false" outlineLevel="0" collapsed="false">
      <c r="A35" s="2" t="s">
        <v>157</v>
      </c>
      <c r="B35" s="2" t="s">
        <v>16</v>
      </c>
      <c r="C35" s="2" t="s">
        <v>158</v>
      </c>
      <c r="D35" s="2" t="s">
        <v>159</v>
      </c>
      <c r="E35" s="2" t="s">
        <v>160</v>
      </c>
      <c r="F35" s="2" t="s">
        <v>161</v>
      </c>
      <c r="G35" s="2" t="n">
        <v>248</v>
      </c>
      <c r="H35" s="2" t="s">
        <v>162</v>
      </c>
      <c r="I35" s="2"/>
      <c r="J35" s="2"/>
      <c r="K35" s="2" t="s">
        <v>163</v>
      </c>
      <c r="L35" s="2"/>
      <c r="M35" s="3" t="n">
        <v>12</v>
      </c>
      <c r="N35" s="4" t="s">
        <v>164</v>
      </c>
      <c r="O35" s="2" t="n">
        <v>10</v>
      </c>
    </row>
    <row r="36" customFormat="false" ht="15" hidden="false" customHeight="false" outlineLevel="0" collapsed="false">
      <c r="A36" s="2" t="s">
        <v>165</v>
      </c>
      <c r="B36" s="2" t="s">
        <v>16</v>
      </c>
      <c r="C36" s="2" t="s">
        <v>158</v>
      </c>
      <c r="D36" s="2" t="s">
        <v>166</v>
      </c>
      <c r="E36" s="2" t="s">
        <v>167</v>
      </c>
      <c r="F36" s="2" t="s">
        <v>168</v>
      </c>
      <c r="G36" s="2" t="n">
        <v>248</v>
      </c>
      <c r="H36" s="2" t="s">
        <v>162</v>
      </c>
      <c r="I36" s="2"/>
      <c r="J36" s="2"/>
      <c r="K36" s="2" t="s">
        <v>163</v>
      </c>
      <c r="L36" s="2"/>
      <c r="M36" s="3" t="n">
        <v>12.5</v>
      </c>
      <c r="N36" s="4" t="s">
        <v>169</v>
      </c>
      <c r="O36" s="2" t="n">
        <v>10</v>
      </c>
    </row>
    <row r="37" customFormat="false" ht="15" hidden="false" customHeight="false" outlineLevel="0" collapsed="false">
      <c r="A37" s="2" t="s">
        <v>170</v>
      </c>
      <c r="B37" s="2" t="s">
        <v>16</v>
      </c>
      <c r="C37" s="2" t="s">
        <v>158</v>
      </c>
      <c r="D37" s="2" t="s">
        <v>159</v>
      </c>
      <c r="E37" s="2" t="s">
        <v>171</v>
      </c>
      <c r="F37" s="2" t="s">
        <v>172</v>
      </c>
      <c r="G37" s="2" t="n">
        <v>186</v>
      </c>
      <c r="H37" s="2" t="s">
        <v>173</v>
      </c>
      <c r="I37" s="2"/>
      <c r="J37" s="2"/>
      <c r="K37" s="2" t="s">
        <v>163</v>
      </c>
      <c r="L37" s="2"/>
      <c r="M37" s="3" t="n">
        <v>10</v>
      </c>
      <c r="N37" s="4" t="s">
        <v>174</v>
      </c>
      <c r="O37" s="2" t="n">
        <v>10</v>
      </c>
    </row>
    <row r="38" customFormat="false" ht="15" hidden="false" customHeight="false" outlineLevel="0" collapsed="false">
      <c r="A38" s="2" t="s">
        <v>175</v>
      </c>
      <c r="B38" s="2" t="s">
        <v>16</v>
      </c>
      <c r="C38" s="2" t="s">
        <v>158</v>
      </c>
      <c r="D38" s="2" t="s">
        <v>159</v>
      </c>
      <c r="E38" s="2" t="s">
        <v>176</v>
      </c>
      <c r="F38" s="2" t="s">
        <v>177</v>
      </c>
      <c r="G38" s="2" t="n">
        <v>124</v>
      </c>
      <c r="H38" s="2" t="s">
        <v>178</v>
      </c>
      <c r="I38" s="2"/>
      <c r="J38" s="2"/>
      <c r="K38" s="2" t="s">
        <v>163</v>
      </c>
      <c r="L38" s="2"/>
      <c r="M38" s="3" t="n">
        <v>9.5</v>
      </c>
      <c r="N38" s="4" t="s">
        <v>179</v>
      </c>
      <c r="O38" s="2" t="n">
        <v>10</v>
      </c>
    </row>
    <row r="39" customFormat="false" ht="15" hidden="false" customHeight="false" outlineLevel="0" collapsed="false">
      <c r="A39" s="2" t="s">
        <v>180</v>
      </c>
      <c r="B39" s="2" t="s">
        <v>16</v>
      </c>
      <c r="C39" s="2" t="s">
        <v>158</v>
      </c>
      <c r="D39" s="2" t="s">
        <v>166</v>
      </c>
      <c r="E39" s="2" t="s">
        <v>181</v>
      </c>
      <c r="F39" s="2" t="s">
        <v>182</v>
      </c>
      <c r="G39" s="2" t="n">
        <v>124</v>
      </c>
      <c r="H39" s="2" t="s">
        <v>178</v>
      </c>
      <c r="I39" s="2"/>
      <c r="J39" s="2"/>
      <c r="K39" s="2" t="s">
        <v>163</v>
      </c>
      <c r="L39" s="2"/>
      <c r="M39" s="3" t="n">
        <v>11</v>
      </c>
      <c r="N39" s="4" t="s">
        <v>183</v>
      </c>
      <c r="O39" s="2" t="n">
        <v>10</v>
      </c>
    </row>
    <row r="40" customFormat="false" ht="15" hidden="false" customHeight="false" outlineLevel="0" collapsed="false">
      <c r="A40" s="2" t="s">
        <v>184</v>
      </c>
      <c r="B40" s="2" t="s">
        <v>16</v>
      </c>
      <c r="C40" s="2" t="s">
        <v>158</v>
      </c>
      <c r="D40" s="2" t="s">
        <v>185</v>
      </c>
      <c r="E40" s="2" t="s">
        <v>186</v>
      </c>
      <c r="F40" s="2" t="s">
        <v>187</v>
      </c>
      <c r="G40" s="2" t="n">
        <v>124</v>
      </c>
      <c r="H40" s="2" t="s">
        <v>178</v>
      </c>
      <c r="I40" s="2"/>
      <c r="J40" s="2"/>
      <c r="K40" s="2" t="s">
        <v>188</v>
      </c>
      <c r="L40" s="2"/>
      <c r="M40" s="3" t="n">
        <v>7</v>
      </c>
      <c r="N40" s="4" t="s">
        <v>189</v>
      </c>
      <c r="O40" s="2" t="n">
        <v>10</v>
      </c>
    </row>
    <row r="41" customFormat="false" ht="15" hidden="false" customHeight="false" outlineLevel="0" collapsed="false">
      <c r="A41" s="2" t="s">
        <v>190</v>
      </c>
      <c r="B41" s="2" t="s">
        <v>16</v>
      </c>
      <c r="C41" s="2" t="s">
        <v>158</v>
      </c>
      <c r="D41" s="2" t="s">
        <v>191</v>
      </c>
      <c r="E41" s="2" t="s">
        <v>192</v>
      </c>
      <c r="F41" s="2"/>
      <c r="G41" s="2" t="n">
        <v>124</v>
      </c>
      <c r="H41" s="2" t="s">
        <v>178</v>
      </c>
      <c r="I41" s="2"/>
      <c r="J41" s="2"/>
      <c r="K41" s="2" t="s">
        <v>193</v>
      </c>
      <c r="L41" s="2"/>
      <c r="M41" s="3" t="n">
        <v>18</v>
      </c>
      <c r="N41" s="4" t="s">
        <v>194</v>
      </c>
      <c r="O41" s="2" t="n">
        <v>10</v>
      </c>
    </row>
    <row r="42" customFormat="false" ht="15" hidden="false" customHeight="false" outlineLevel="0" collapsed="false">
      <c r="A42" s="2" t="s">
        <v>195</v>
      </c>
      <c r="B42" s="2" t="s">
        <v>16</v>
      </c>
      <c r="C42" s="2" t="s">
        <v>196</v>
      </c>
      <c r="D42" s="2" t="s">
        <v>197</v>
      </c>
      <c r="E42" s="2" t="s">
        <v>198</v>
      </c>
      <c r="F42" s="2" t="s">
        <v>199</v>
      </c>
      <c r="G42" s="2" t="n">
        <v>248</v>
      </c>
      <c r="H42" s="2" t="s">
        <v>162</v>
      </c>
      <c r="I42" s="2"/>
      <c r="J42" s="2"/>
      <c r="K42" s="2" t="s">
        <v>188</v>
      </c>
      <c r="L42" s="2"/>
      <c r="M42" s="3" t="n">
        <v>13.5</v>
      </c>
      <c r="N42" s="4" t="s">
        <v>200</v>
      </c>
      <c r="O42" s="2" t="n">
        <v>10</v>
      </c>
    </row>
    <row r="43" customFormat="false" ht="15" hidden="false" customHeight="false" outlineLevel="0" collapsed="false">
      <c r="A43" s="2" t="s">
        <v>201</v>
      </c>
      <c r="B43" s="2" t="s">
        <v>16</v>
      </c>
      <c r="C43" s="2" t="s">
        <v>196</v>
      </c>
      <c r="D43" s="2" t="s">
        <v>197</v>
      </c>
      <c r="E43" s="2" t="s">
        <v>202</v>
      </c>
      <c r="F43" s="2" t="s">
        <v>203</v>
      </c>
      <c r="G43" s="2" t="n">
        <v>186</v>
      </c>
      <c r="H43" s="2" t="s">
        <v>173</v>
      </c>
      <c r="I43" s="2"/>
      <c r="J43" s="2"/>
      <c r="K43" s="2" t="s">
        <v>188</v>
      </c>
      <c r="L43" s="2"/>
      <c r="M43" s="3" t="n">
        <v>13</v>
      </c>
      <c r="N43" s="4" t="s">
        <v>204</v>
      </c>
      <c r="O43" s="2" t="n">
        <v>10</v>
      </c>
    </row>
    <row r="44" customFormat="false" ht="15" hidden="false" customHeight="false" outlineLevel="0" collapsed="false">
      <c r="A44" s="2" t="s">
        <v>205</v>
      </c>
      <c r="B44" s="2" t="s">
        <v>16</v>
      </c>
      <c r="C44" s="2" t="s">
        <v>196</v>
      </c>
      <c r="D44" s="2" t="s">
        <v>197</v>
      </c>
      <c r="E44" s="2" t="s">
        <v>206</v>
      </c>
      <c r="F44" s="2" t="s">
        <v>207</v>
      </c>
      <c r="G44" s="2" t="n">
        <v>124</v>
      </c>
      <c r="H44" s="2" t="s">
        <v>178</v>
      </c>
      <c r="I44" s="2"/>
      <c r="J44" s="2"/>
      <c r="K44" s="2" t="s">
        <v>188</v>
      </c>
      <c r="L44" s="2"/>
      <c r="M44" s="3" t="n">
        <v>12.5</v>
      </c>
      <c r="N44" s="4" t="s">
        <v>208</v>
      </c>
      <c r="O44" s="2" t="n">
        <v>10</v>
      </c>
    </row>
    <row r="45" customFormat="false" ht="23.85" hidden="false" customHeight="false" outlineLevel="0" collapsed="false">
      <c r="A45" s="2" t="s">
        <v>209</v>
      </c>
      <c r="B45" s="2" t="s">
        <v>16</v>
      </c>
      <c r="C45" s="2" t="s">
        <v>210</v>
      </c>
      <c r="D45" s="2" t="s">
        <v>211</v>
      </c>
      <c r="E45" s="2" t="s">
        <v>212</v>
      </c>
      <c r="F45" s="2" t="s">
        <v>213</v>
      </c>
      <c r="G45" s="2" t="n">
        <v>248</v>
      </c>
      <c r="H45" s="2" t="s">
        <v>162</v>
      </c>
      <c r="I45" s="2"/>
      <c r="J45" s="2"/>
      <c r="K45" s="2" t="s">
        <v>193</v>
      </c>
      <c r="L45" s="2" t="s">
        <v>214</v>
      </c>
      <c r="M45" s="3" t="n">
        <v>15</v>
      </c>
      <c r="N45" s="4" t="s">
        <v>215</v>
      </c>
      <c r="O45" s="2" t="n">
        <v>10</v>
      </c>
    </row>
    <row r="46" customFormat="false" ht="15" hidden="false" customHeight="false" outlineLevel="0" collapsed="false">
      <c r="A46" s="2" t="s">
        <v>216</v>
      </c>
      <c r="B46" s="2" t="s">
        <v>16</v>
      </c>
      <c r="C46" s="2" t="s">
        <v>210</v>
      </c>
      <c r="D46" s="2" t="s">
        <v>211</v>
      </c>
      <c r="E46" s="2" t="s">
        <v>217</v>
      </c>
      <c r="F46" s="2" t="s">
        <v>213</v>
      </c>
      <c r="G46" s="2" t="n">
        <v>248</v>
      </c>
      <c r="H46" s="2" t="s">
        <v>162</v>
      </c>
      <c r="I46" s="2"/>
      <c r="J46" s="2"/>
      <c r="K46" s="2" t="s">
        <v>193</v>
      </c>
      <c r="L46" s="2" t="s">
        <v>218</v>
      </c>
      <c r="M46" s="3" t="n">
        <v>14</v>
      </c>
      <c r="N46" s="4" t="s">
        <v>219</v>
      </c>
      <c r="O46" s="2" t="n">
        <v>10</v>
      </c>
    </row>
    <row r="47" customFormat="false" ht="15" hidden="false" customHeight="false" outlineLevel="0" collapsed="false">
      <c r="A47" s="2" t="s">
        <v>220</v>
      </c>
      <c r="B47" s="2" t="s">
        <v>16</v>
      </c>
      <c r="C47" s="2" t="s">
        <v>210</v>
      </c>
      <c r="D47" s="2" t="s">
        <v>211</v>
      </c>
      <c r="E47" s="2" t="s">
        <v>221</v>
      </c>
      <c r="F47" s="2" t="s">
        <v>213</v>
      </c>
      <c r="G47" s="2" t="n">
        <v>248</v>
      </c>
      <c r="H47" s="2" t="s">
        <v>162</v>
      </c>
      <c r="I47" s="2"/>
      <c r="J47" s="2"/>
      <c r="K47" s="2" t="s">
        <v>193</v>
      </c>
      <c r="L47" s="2" t="s">
        <v>222</v>
      </c>
      <c r="M47" s="3" t="n">
        <v>14</v>
      </c>
      <c r="N47" s="4" t="s">
        <v>223</v>
      </c>
      <c r="O47" s="2" t="n">
        <v>10</v>
      </c>
    </row>
    <row r="48" customFormat="false" ht="15" hidden="false" customHeight="false" outlineLevel="0" collapsed="false">
      <c r="A48" s="2" t="s">
        <v>224</v>
      </c>
      <c r="B48" s="2" t="s">
        <v>16</v>
      </c>
      <c r="C48" s="2" t="s">
        <v>210</v>
      </c>
      <c r="D48" s="2" t="s">
        <v>211</v>
      </c>
      <c r="E48" s="2" t="s">
        <v>225</v>
      </c>
      <c r="F48" s="2" t="s">
        <v>213</v>
      </c>
      <c r="G48" s="2" t="n">
        <v>248</v>
      </c>
      <c r="H48" s="2" t="s">
        <v>162</v>
      </c>
      <c r="I48" s="2"/>
      <c r="J48" s="2"/>
      <c r="K48" s="2" t="s">
        <v>193</v>
      </c>
      <c r="L48" s="2" t="s">
        <v>226</v>
      </c>
      <c r="M48" s="3" t="n">
        <v>14</v>
      </c>
      <c r="N48" s="4" t="s">
        <v>227</v>
      </c>
      <c r="O48" s="2" t="n">
        <v>10</v>
      </c>
    </row>
    <row r="49" customFormat="false" ht="15" hidden="false" customHeight="false" outlineLevel="0" collapsed="false">
      <c r="A49" s="2" t="s">
        <v>228</v>
      </c>
      <c r="B49" s="2" t="s">
        <v>16</v>
      </c>
      <c r="C49" s="2" t="s">
        <v>210</v>
      </c>
      <c r="D49" s="2" t="s">
        <v>211</v>
      </c>
      <c r="E49" s="2" t="s">
        <v>229</v>
      </c>
      <c r="F49" s="2" t="s">
        <v>213</v>
      </c>
      <c r="G49" s="2" t="n">
        <v>248</v>
      </c>
      <c r="H49" s="2" t="s">
        <v>162</v>
      </c>
      <c r="I49" s="2"/>
      <c r="J49" s="2"/>
      <c r="K49" s="2" t="s">
        <v>193</v>
      </c>
      <c r="L49" s="2" t="s">
        <v>230</v>
      </c>
      <c r="M49" s="3" t="n">
        <v>14</v>
      </c>
      <c r="N49" s="4" t="s">
        <v>231</v>
      </c>
      <c r="O49" s="2" t="n">
        <v>10</v>
      </c>
    </row>
    <row r="50" customFormat="false" ht="15" hidden="false" customHeight="false" outlineLevel="0" collapsed="false">
      <c r="A50" s="2" t="s">
        <v>232</v>
      </c>
      <c r="B50" s="2" t="s">
        <v>16</v>
      </c>
      <c r="C50" s="2" t="s">
        <v>210</v>
      </c>
      <c r="D50" s="2" t="s">
        <v>211</v>
      </c>
      <c r="E50" s="2" t="s">
        <v>233</v>
      </c>
      <c r="F50" s="2" t="s">
        <v>213</v>
      </c>
      <c r="G50" s="2" t="n">
        <v>248</v>
      </c>
      <c r="H50" s="2" t="s">
        <v>162</v>
      </c>
      <c r="I50" s="2"/>
      <c r="J50" s="2"/>
      <c r="K50" s="2" t="s">
        <v>193</v>
      </c>
      <c r="L50" s="2" t="s">
        <v>234</v>
      </c>
      <c r="M50" s="3" t="n">
        <v>14</v>
      </c>
      <c r="N50" s="4" t="s">
        <v>235</v>
      </c>
      <c r="O50" s="2" t="n">
        <v>10</v>
      </c>
    </row>
    <row r="51" customFormat="false" ht="15" hidden="false" customHeight="false" outlineLevel="0" collapsed="false">
      <c r="A51" s="2" t="s">
        <v>236</v>
      </c>
      <c r="B51" s="2" t="s">
        <v>16</v>
      </c>
      <c r="C51" s="2" t="s">
        <v>210</v>
      </c>
      <c r="D51" s="2" t="s">
        <v>237</v>
      </c>
      <c r="E51" s="2" t="s">
        <v>238</v>
      </c>
      <c r="F51" s="2"/>
      <c r="G51" s="2" t="n">
        <v>186</v>
      </c>
      <c r="H51" s="2" t="s">
        <v>173</v>
      </c>
      <c r="I51" s="2"/>
      <c r="J51" s="2"/>
      <c r="K51" s="2" t="s">
        <v>193</v>
      </c>
      <c r="L51" s="2" t="s">
        <v>218</v>
      </c>
      <c r="M51" s="3" t="n">
        <v>13.5</v>
      </c>
      <c r="N51" s="4" t="s">
        <v>239</v>
      </c>
      <c r="O51" s="2" t="n">
        <v>10</v>
      </c>
    </row>
    <row r="52" customFormat="false" ht="15" hidden="false" customHeight="false" outlineLevel="0" collapsed="false">
      <c r="A52" s="2" t="s">
        <v>240</v>
      </c>
      <c r="B52" s="2" t="s">
        <v>16</v>
      </c>
      <c r="C52" s="2" t="s">
        <v>210</v>
      </c>
      <c r="D52" s="2" t="s">
        <v>237</v>
      </c>
      <c r="E52" s="2" t="s">
        <v>241</v>
      </c>
      <c r="F52" s="2"/>
      <c r="G52" s="2" t="n">
        <v>186</v>
      </c>
      <c r="H52" s="2" t="s">
        <v>173</v>
      </c>
      <c r="I52" s="2"/>
      <c r="J52" s="2"/>
      <c r="K52" s="2" t="s">
        <v>193</v>
      </c>
      <c r="L52" s="2" t="s">
        <v>222</v>
      </c>
      <c r="M52" s="3" t="n">
        <v>13.5</v>
      </c>
      <c r="N52" s="4" t="s">
        <v>242</v>
      </c>
      <c r="O52" s="2" t="n">
        <v>10</v>
      </c>
    </row>
    <row r="53" customFormat="false" ht="15" hidden="false" customHeight="false" outlineLevel="0" collapsed="false">
      <c r="A53" s="2" t="s">
        <v>243</v>
      </c>
      <c r="B53" s="2" t="s">
        <v>16</v>
      </c>
      <c r="C53" s="2" t="s">
        <v>210</v>
      </c>
      <c r="D53" s="2" t="s">
        <v>237</v>
      </c>
      <c r="E53" s="2" t="s">
        <v>244</v>
      </c>
      <c r="F53" s="2"/>
      <c r="G53" s="2" t="n">
        <v>186</v>
      </c>
      <c r="H53" s="2" t="s">
        <v>173</v>
      </c>
      <c r="I53" s="2"/>
      <c r="J53" s="2"/>
      <c r="K53" s="2" t="s">
        <v>193</v>
      </c>
      <c r="L53" s="2" t="s">
        <v>226</v>
      </c>
      <c r="M53" s="3" t="n">
        <v>13.5</v>
      </c>
      <c r="N53" s="4" t="s">
        <v>245</v>
      </c>
      <c r="O53" s="2" t="n">
        <v>10</v>
      </c>
    </row>
    <row r="54" customFormat="false" ht="15" hidden="false" customHeight="false" outlineLevel="0" collapsed="false">
      <c r="A54" s="2" t="s">
        <v>246</v>
      </c>
      <c r="B54" s="2" t="s">
        <v>16</v>
      </c>
      <c r="C54" s="2" t="s">
        <v>210</v>
      </c>
      <c r="D54" s="2" t="s">
        <v>237</v>
      </c>
      <c r="E54" s="2" t="s">
        <v>247</v>
      </c>
      <c r="F54" s="2"/>
      <c r="G54" s="2" t="n">
        <v>186</v>
      </c>
      <c r="H54" s="2" t="s">
        <v>173</v>
      </c>
      <c r="I54" s="2"/>
      <c r="J54" s="2"/>
      <c r="K54" s="2" t="s">
        <v>193</v>
      </c>
      <c r="L54" s="2" t="s">
        <v>230</v>
      </c>
      <c r="M54" s="3" t="n">
        <v>13.5</v>
      </c>
      <c r="N54" s="4" t="s">
        <v>248</v>
      </c>
      <c r="O54" s="2" t="n">
        <v>10</v>
      </c>
    </row>
    <row r="55" customFormat="false" ht="15" hidden="false" customHeight="false" outlineLevel="0" collapsed="false">
      <c r="A55" s="2" t="s">
        <v>249</v>
      </c>
      <c r="B55" s="2" t="s">
        <v>16</v>
      </c>
      <c r="C55" s="2" t="s">
        <v>210</v>
      </c>
      <c r="D55" s="2" t="s">
        <v>237</v>
      </c>
      <c r="E55" s="2" t="s">
        <v>250</v>
      </c>
      <c r="F55" s="2"/>
      <c r="G55" s="2" t="n">
        <v>186</v>
      </c>
      <c r="H55" s="2" t="s">
        <v>173</v>
      </c>
      <c r="I55" s="2"/>
      <c r="J55" s="2"/>
      <c r="K55" s="2" t="s">
        <v>193</v>
      </c>
      <c r="L55" s="2" t="s">
        <v>234</v>
      </c>
      <c r="M55" s="3" t="n">
        <v>13.5</v>
      </c>
      <c r="N55" s="4" t="s">
        <v>251</v>
      </c>
      <c r="O55" s="2" t="n">
        <v>10</v>
      </c>
    </row>
    <row r="56" customFormat="false" ht="15" hidden="false" customHeight="false" outlineLevel="0" collapsed="false">
      <c r="A56" s="2" t="s">
        <v>252</v>
      </c>
      <c r="B56" s="2" t="s">
        <v>16</v>
      </c>
      <c r="C56" s="2" t="s">
        <v>210</v>
      </c>
      <c r="D56" s="2" t="s">
        <v>253</v>
      </c>
      <c r="E56" s="2" t="s">
        <v>254</v>
      </c>
      <c r="F56" s="2"/>
      <c r="G56" s="2" t="n">
        <v>124</v>
      </c>
      <c r="H56" s="2" t="s">
        <v>178</v>
      </c>
      <c r="I56" s="2"/>
      <c r="J56" s="2"/>
      <c r="K56" s="2" t="s">
        <v>193</v>
      </c>
      <c r="L56" s="2" t="s">
        <v>218</v>
      </c>
      <c r="M56" s="3" t="n">
        <v>12</v>
      </c>
      <c r="N56" s="4" t="s">
        <v>255</v>
      </c>
      <c r="O56" s="2" t="n">
        <v>11</v>
      </c>
    </row>
    <row r="57" customFormat="false" ht="15" hidden="false" customHeight="false" outlineLevel="0" collapsed="false">
      <c r="A57" s="2" t="s">
        <v>256</v>
      </c>
      <c r="B57" s="2" t="s">
        <v>16</v>
      </c>
      <c r="C57" s="2" t="s">
        <v>210</v>
      </c>
      <c r="D57" s="2" t="s">
        <v>253</v>
      </c>
      <c r="E57" s="2" t="s">
        <v>257</v>
      </c>
      <c r="F57" s="2"/>
      <c r="G57" s="2" t="n">
        <v>124</v>
      </c>
      <c r="H57" s="2" t="s">
        <v>178</v>
      </c>
      <c r="I57" s="2"/>
      <c r="J57" s="2"/>
      <c r="K57" s="2" t="s">
        <v>193</v>
      </c>
      <c r="L57" s="2" t="s">
        <v>222</v>
      </c>
      <c r="M57" s="3" t="n">
        <v>12</v>
      </c>
      <c r="N57" s="4" t="s">
        <v>258</v>
      </c>
      <c r="O57" s="2" t="n">
        <v>11</v>
      </c>
    </row>
    <row r="58" customFormat="false" ht="15" hidden="false" customHeight="false" outlineLevel="0" collapsed="false">
      <c r="A58" s="2" t="s">
        <v>259</v>
      </c>
      <c r="B58" s="2" t="s">
        <v>16</v>
      </c>
      <c r="C58" s="2" t="s">
        <v>210</v>
      </c>
      <c r="D58" s="2" t="s">
        <v>253</v>
      </c>
      <c r="E58" s="2" t="s">
        <v>260</v>
      </c>
      <c r="F58" s="2"/>
      <c r="G58" s="2" t="n">
        <v>124</v>
      </c>
      <c r="H58" s="2" t="s">
        <v>178</v>
      </c>
      <c r="I58" s="2"/>
      <c r="J58" s="2"/>
      <c r="K58" s="2" t="s">
        <v>193</v>
      </c>
      <c r="L58" s="2" t="s">
        <v>226</v>
      </c>
      <c r="M58" s="3" t="n">
        <v>12</v>
      </c>
      <c r="N58" s="4" t="s">
        <v>261</v>
      </c>
      <c r="O58" s="2" t="n">
        <v>11</v>
      </c>
    </row>
    <row r="59" customFormat="false" ht="15" hidden="false" customHeight="false" outlineLevel="0" collapsed="false">
      <c r="A59" s="2" t="s">
        <v>262</v>
      </c>
      <c r="B59" s="2" t="s">
        <v>16</v>
      </c>
      <c r="C59" s="2" t="s">
        <v>210</v>
      </c>
      <c r="D59" s="2" t="s">
        <v>253</v>
      </c>
      <c r="E59" s="2" t="s">
        <v>263</v>
      </c>
      <c r="F59" s="2"/>
      <c r="G59" s="2" t="n">
        <v>124</v>
      </c>
      <c r="H59" s="2" t="s">
        <v>178</v>
      </c>
      <c r="I59" s="2"/>
      <c r="J59" s="2"/>
      <c r="K59" s="2" t="s">
        <v>193</v>
      </c>
      <c r="L59" s="2" t="s">
        <v>234</v>
      </c>
      <c r="M59" s="3" t="n">
        <v>12</v>
      </c>
      <c r="N59" s="4" t="s">
        <v>264</v>
      </c>
      <c r="O59" s="2" t="n">
        <v>11</v>
      </c>
    </row>
    <row r="60" customFormat="false" ht="15" hidden="false" customHeight="false" outlineLevel="0" collapsed="false">
      <c r="A60" s="2" t="s">
        <v>265</v>
      </c>
      <c r="B60" s="2" t="s">
        <v>16</v>
      </c>
      <c r="C60" s="2" t="s">
        <v>266</v>
      </c>
      <c r="D60" s="2" t="s">
        <v>267</v>
      </c>
      <c r="E60" s="2" t="s">
        <v>268</v>
      </c>
      <c r="F60" s="2"/>
      <c r="G60" s="2" t="n">
        <v>186</v>
      </c>
      <c r="H60" s="2" t="s">
        <v>173</v>
      </c>
      <c r="I60" s="2"/>
      <c r="J60" s="2"/>
      <c r="K60" s="2" t="s">
        <v>188</v>
      </c>
      <c r="L60" s="2"/>
      <c r="M60" s="3" t="n">
        <v>7</v>
      </c>
      <c r="N60" s="4" t="s">
        <v>269</v>
      </c>
      <c r="O60" s="2" t="n">
        <v>11</v>
      </c>
    </row>
    <row r="61" customFormat="false" ht="15" hidden="false" customHeight="false" outlineLevel="0" collapsed="false">
      <c r="A61" s="2" t="s">
        <v>270</v>
      </c>
      <c r="B61" s="2" t="s">
        <v>16</v>
      </c>
      <c r="C61" s="2" t="s">
        <v>266</v>
      </c>
      <c r="D61" s="2" t="s">
        <v>267</v>
      </c>
      <c r="E61" s="2" t="s">
        <v>271</v>
      </c>
      <c r="F61" s="2"/>
      <c r="G61" s="2" t="n">
        <v>186</v>
      </c>
      <c r="H61" s="2" t="s">
        <v>173</v>
      </c>
      <c r="I61" s="2"/>
      <c r="J61" s="2"/>
      <c r="K61" s="2" t="s">
        <v>163</v>
      </c>
      <c r="L61" s="2"/>
      <c r="M61" s="3" t="n">
        <v>18</v>
      </c>
      <c r="N61" s="4" t="s">
        <v>272</v>
      </c>
      <c r="O61" s="2" t="n">
        <v>11</v>
      </c>
    </row>
    <row r="62" customFormat="false" ht="23.85" hidden="false" customHeight="false" outlineLevel="0" collapsed="false">
      <c r="A62" s="2" t="s">
        <v>273</v>
      </c>
      <c r="B62" s="2" t="s">
        <v>16</v>
      </c>
      <c r="C62" s="2" t="s">
        <v>274</v>
      </c>
      <c r="D62" s="2" t="s">
        <v>275</v>
      </c>
      <c r="E62" s="2" t="s">
        <v>276</v>
      </c>
      <c r="F62" s="2"/>
      <c r="G62" s="2" t="n">
        <v>124</v>
      </c>
      <c r="H62" s="2" t="s">
        <v>178</v>
      </c>
      <c r="I62" s="2"/>
      <c r="J62" s="2"/>
      <c r="K62" s="2" t="s">
        <v>193</v>
      </c>
      <c r="L62" s="2"/>
      <c r="M62" s="3" t="n">
        <v>75</v>
      </c>
      <c r="N62" s="4" t="s">
        <v>277</v>
      </c>
      <c r="O62" s="2" t="n">
        <v>11</v>
      </c>
    </row>
    <row r="63" customFormat="false" ht="15" hidden="false" customHeight="false" outlineLevel="0" collapsed="false">
      <c r="A63" s="2" t="s">
        <v>278</v>
      </c>
      <c r="B63" s="2" t="s">
        <v>16</v>
      </c>
      <c r="C63" s="2" t="s">
        <v>196</v>
      </c>
      <c r="D63" s="2" t="s">
        <v>279</v>
      </c>
      <c r="E63" s="2" t="s">
        <v>280</v>
      </c>
      <c r="F63" s="2"/>
      <c r="G63" s="2" t="n">
        <v>124</v>
      </c>
      <c r="H63" s="2" t="s">
        <v>178</v>
      </c>
      <c r="I63" s="2"/>
      <c r="J63" s="2"/>
      <c r="K63" s="2" t="s">
        <v>193</v>
      </c>
      <c r="L63" s="2"/>
      <c r="M63" s="3" t="n">
        <v>2.5</v>
      </c>
      <c r="N63" s="4" t="s">
        <v>281</v>
      </c>
      <c r="O63" s="2" t="n">
        <v>11</v>
      </c>
    </row>
    <row r="64" customFormat="false" ht="15" hidden="false" customHeight="false" outlineLevel="0" collapsed="false">
      <c r="A64" s="2" t="s">
        <v>282</v>
      </c>
      <c r="B64" s="2" t="s">
        <v>16</v>
      </c>
      <c r="C64" s="2" t="s">
        <v>158</v>
      </c>
      <c r="D64" s="2" t="s">
        <v>283</v>
      </c>
      <c r="E64" s="2" t="s">
        <v>284</v>
      </c>
      <c r="F64" s="2" t="s">
        <v>285</v>
      </c>
      <c r="G64" s="2" t="n">
        <v>64</v>
      </c>
      <c r="H64" s="2" t="s">
        <v>286</v>
      </c>
      <c r="I64" s="2"/>
      <c r="J64" s="2"/>
      <c r="K64" s="2" t="s">
        <v>188</v>
      </c>
      <c r="L64" s="2"/>
      <c r="M64" s="3" t="n">
        <v>5.5</v>
      </c>
      <c r="N64" s="4" t="s">
        <v>287</v>
      </c>
      <c r="O64" s="2" t="n">
        <v>11</v>
      </c>
    </row>
    <row r="65" customFormat="false" ht="15" hidden="false" customHeight="false" outlineLevel="0" collapsed="false">
      <c r="A65" s="2" t="s">
        <v>288</v>
      </c>
      <c r="B65" s="2" t="s">
        <v>16</v>
      </c>
      <c r="C65" s="2" t="s">
        <v>266</v>
      </c>
      <c r="D65" s="2" t="s">
        <v>289</v>
      </c>
      <c r="E65" s="2" t="s">
        <v>290</v>
      </c>
      <c r="F65" s="2"/>
      <c r="G65" s="2" t="n">
        <v>64</v>
      </c>
      <c r="H65" s="2" t="s">
        <v>286</v>
      </c>
      <c r="I65" s="2"/>
      <c r="J65" s="2"/>
      <c r="K65" s="2" t="s">
        <v>193</v>
      </c>
      <c r="L65" s="2"/>
      <c r="M65" s="3" t="n">
        <v>7.5</v>
      </c>
      <c r="N65" s="4" t="s">
        <v>291</v>
      </c>
      <c r="O65" s="2" t="n">
        <v>11</v>
      </c>
    </row>
    <row r="66" customFormat="false" ht="15" hidden="false" customHeight="false" outlineLevel="0" collapsed="false">
      <c r="A66" s="2" t="s">
        <v>292</v>
      </c>
      <c r="B66" s="2" t="s">
        <v>16</v>
      </c>
      <c r="C66" s="2" t="s">
        <v>158</v>
      </c>
      <c r="D66" s="2" t="s">
        <v>283</v>
      </c>
      <c r="E66" s="2" t="s">
        <v>293</v>
      </c>
      <c r="F66" s="2" t="s">
        <v>294</v>
      </c>
      <c r="G66" s="2" t="n">
        <v>62</v>
      </c>
      <c r="H66" s="2" t="s">
        <v>295</v>
      </c>
      <c r="I66" s="2"/>
      <c r="J66" s="2"/>
      <c r="K66" s="2" t="s">
        <v>163</v>
      </c>
      <c r="L66" s="2"/>
      <c r="M66" s="3" t="n">
        <v>9</v>
      </c>
      <c r="N66" s="4" t="s">
        <v>296</v>
      </c>
      <c r="O66" s="2" t="n">
        <v>11</v>
      </c>
    </row>
    <row r="67" customFormat="false" ht="15" hidden="false" customHeight="false" outlineLevel="0" collapsed="false">
      <c r="A67" s="2" t="s">
        <v>297</v>
      </c>
      <c r="B67" s="2" t="s">
        <v>16</v>
      </c>
      <c r="C67" s="2" t="s">
        <v>298</v>
      </c>
      <c r="D67" s="2" t="s">
        <v>299</v>
      </c>
      <c r="E67" s="2" t="s">
        <v>300</v>
      </c>
      <c r="F67" s="2" t="s">
        <v>301</v>
      </c>
      <c r="G67" s="2" t="n">
        <v>62</v>
      </c>
      <c r="H67" s="2" t="s">
        <v>295</v>
      </c>
      <c r="I67" s="2"/>
      <c r="J67" s="2"/>
      <c r="K67" s="2" t="s">
        <v>193</v>
      </c>
      <c r="L67" s="2"/>
      <c r="M67" s="3" t="n">
        <v>7</v>
      </c>
      <c r="N67" s="4" t="s">
        <v>302</v>
      </c>
      <c r="O67" s="2" t="n">
        <v>11</v>
      </c>
    </row>
    <row r="68" customFormat="false" ht="15" hidden="false" customHeight="false" outlineLevel="0" collapsed="false">
      <c r="A68" s="2" t="s">
        <v>303</v>
      </c>
      <c r="B68" s="2" t="s">
        <v>16</v>
      </c>
      <c r="C68" s="2" t="s">
        <v>158</v>
      </c>
      <c r="D68" s="2" t="s">
        <v>166</v>
      </c>
      <c r="E68" s="2" t="s">
        <v>304</v>
      </c>
      <c r="F68" s="2"/>
      <c r="G68" s="2" t="n">
        <v>62</v>
      </c>
      <c r="H68" s="2" t="s">
        <v>295</v>
      </c>
      <c r="I68" s="2"/>
      <c r="J68" s="2"/>
      <c r="K68" s="2" t="s">
        <v>163</v>
      </c>
      <c r="L68" s="2"/>
      <c r="M68" s="3" t="n">
        <v>10.5</v>
      </c>
      <c r="N68" s="4" t="s">
        <v>305</v>
      </c>
      <c r="O68" s="2" t="n">
        <v>11</v>
      </c>
    </row>
    <row r="69" customFormat="false" ht="15" hidden="false" customHeight="false" outlineLevel="0" collapsed="false">
      <c r="A69" s="2" t="s">
        <v>306</v>
      </c>
      <c r="B69" s="2" t="s">
        <v>16</v>
      </c>
      <c r="C69" s="2" t="s">
        <v>298</v>
      </c>
      <c r="D69" s="2" t="s">
        <v>307</v>
      </c>
      <c r="E69" s="2" t="s">
        <v>308</v>
      </c>
      <c r="F69" s="2"/>
      <c r="G69" s="2" t="n">
        <v>62</v>
      </c>
      <c r="H69" s="2" t="s">
        <v>295</v>
      </c>
      <c r="I69" s="2"/>
      <c r="J69" s="2"/>
      <c r="K69" s="2" t="s">
        <v>193</v>
      </c>
      <c r="L69" s="2"/>
      <c r="M69" s="3" t="n">
        <v>7</v>
      </c>
      <c r="N69" s="4" t="s">
        <v>309</v>
      </c>
      <c r="O69" s="2" t="n">
        <v>11</v>
      </c>
    </row>
    <row r="70" customFormat="false" ht="15" hidden="false" customHeight="false" outlineLevel="0" collapsed="false">
      <c r="A70" s="2" t="s">
        <v>310</v>
      </c>
      <c r="B70" s="2" t="s">
        <v>16</v>
      </c>
      <c r="C70" s="2" t="s">
        <v>266</v>
      </c>
      <c r="D70" s="2" t="s">
        <v>311</v>
      </c>
      <c r="E70" s="2" t="s">
        <v>312</v>
      </c>
      <c r="F70" s="2"/>
      <c r="G70" s="2" t="n">
        <v>62</v>
      </c>
      <c r="H70" s="2" t="s">
        <v>286</v>
      </c>
      <c r="I70" s="2"/>
      <c r="J70" s="2"/>
      <c r="K70" s="2" t="s">
        <v>188</v>
      </c>
      <c r="L70" s="2"/>
      <c r="M70" s="3" t="n">
        <v>5.5</v>
      </c>
      <c r="N70" s="4" t="s">
        <v>313</v>
      </c>
      <c r="O70" s="2" t="n">
        <v>11</v>
      </c>
    </row>
    <row r="71" customFormat="false" ht="15" hidden="false" customHeight="false" outlineLevel="0" collapsed="false">
      <c r="A71" s="2" t="s">
        <v>314</v>
      </c>
      <c r="B71" s="2" t="s">
        <v>16</v>
      </c>
      <c r="C71" s="2" t="s">
        <v>196</v>
      </c>
      <c r="D71" s="2" t="s">
        <v>197</v>
      </c>
      <c r="E71" s="2" t="s">
        <v>315</v>
      </c>
      <c r="F71" s="2" t="s">
        <v>316</v>
      </c>
      <c r="G71" s="2" t="n">
        <v>62</v>
      </c>
      <c r="H71" s="2" t="s">
        <v>286</v>
      </c>
      <c r="I71" s="2"/>
      <c r="J71" s="2"/>
      <c r="K71" s="2" t="s">
        <v>188</v>
      </c>
      <c r="L71" s="2"/>
      <c r="M71" s="3" t="n">
        <v>12.5</v>
      </c>
      <c r="N71" s="4" t="s">
        <v>317</v>
      </c>
      <c r="O71" s="2" t="n">
        <v>11</v>
      </c>
    </row>
    <row r="72" customFormat="false" ht="15" hidden="false" customHeight="false" outlineLevel="0" collapsed="false">
      <c r="A72" s="2" t="s">
        <v>318</v>
      </c>
      <c r="B72" s="2" t="s">
        <v>16</v>
      </c>
      <c r="C72" s="2" t="s">
        <v>319</v>
      </c>
      <c r="D72" s="2" t="s">
        <v>98</v>
      </c>
      <c r="E72" s="2" t="s">
        <v>320</v>
      </c>
      <c r="F72" s="2"/>
      <c r="G72" s="2"/>
      <c r="H72" s="2" t="s">
        <v>321</v>
      </c>
      <c r="I72" s="2"/>
      <c r="J72" s="2"/>
      <c r="K72" s="2" t="s">
        <v>193</v>
      </c>
      <c r="L72" s="2"/>
      <c r="M72" s="3" t="n">
        <v>8.25</v>
      </c>
      <c r="N72" s="4" t="s">
        <v>322</v>
      </c>
      <c r="O72" s="2" t="n">
        <v>11</v>
      </c>
    </row>
    <row r="73" customFormat="false" ht="15" hidden="false" customHeight="false" outlineLevel="0" collapsed="false">
      <c r="A73" s="2" t="s">
        <v>323</v>
      </c>
      <c r="B73" s="2" t="s">
        <v>16</v>
      </c>
      <c r="C73" s="2" t="s">
        <v>319</v>
      </c>
      <c r="D73" s="2" t="s">
        <v>324</v>
      </c>
      <c r="E73" s="2" t="s">
        <v>325</v>
      </c>
      <c r="F73" s="2"/>
      <c r="G73" s="2"/>
      <c r="H73" s="2" t="s">
        <v>326</v>
      </c>
      <c r="I73" s="2"/>
      <c r="J73" s="2"/>
      <c r="K73" s="2" t="s">
        <v>327</v>
      </c>
      <c r="L73" s="2"/>
      <c r="M73" s="3" t="n">
        <v>18</v>
      </c>
      <c r="N73" s="4" t="s">
        <v>328</v>
      </c>
      <c r="O73" s="2" t="n">
        <v>11</v>
      </c>
    </row>
    <row r="74" customFormat="false" ht="15" hidden="false" customHeight="false" outlineLevel="0" collapsed="false">
      <c r="A74" s="2" t="s">
        <v>329</v>
      </c>
      <c r="B74" s="2" t="s">
        <v>16</v>
      </c>
      <c r="C74" s="2" t="s">
        <v>319</v>
      </c>
      <c r="D74" s="2" t="s">
        <v>330</v>
      </c>
      <c r="E74" s="2" t="s">
        <v>331</v>
      </c>
      <c r="F74" s="2"/>
      <c r="G74" s="2"/>
      <c r="H74" s="2" t="s">
        <v>332</v>
      </c>
      <c r="I74" s="2"/>
      <c r="J74" s="2"/>
      <c r="K74" s="2" t="s">
        <v>333</v>
      </c>
      <c r="L74" s="2"/>
      <c r="M74" s="3" t="n">
        <v>18</v>
      </c>
      <c r="N74" s="4" t="s">
        <v>334</v>
      </c>
      <c r="O74" s="2" t="n">
        <v>11</v>
      </c>
    </row>
    <row r="75" customFormat="false" ht="15" hidden="false" customHeight="false" outlineLevel="0" collapsed="false">
      <c r="A75" s="2" t="s">
        <v>335</v>
      </c>
      <c r="B75" s="2" t="s">
        <v>16</v>
      </c>
      <c r="C75" s="2" t="s">
        <v>336</v>
      </c>
      <c r="D75" s="2" t="s">
        <v>337</v>
      </c>
      <c r="E75" s="2" t="s">
        <v>338</v>
      </c>
      <c r="F75" s="2"/>
      <c r="G75" s="2" t="n">
        <v>62</v>
      </c>
      <c r="H75" s="2" t="s">
        <v>286</v>
      </c>
      <c r="I75" s="2"/>
      <c r="J75" s="2"/>
      <c r="K75" s="2" t="s">
        <v>188</v>
      </c>
      <c r="L75" s="2"/>
      <c r="M75" s="3" t="n">
        <v>9</v>
      </c>
      <c r="N75" s="4" t="s">
        <v>339</v>
      </c>
      <c r="O75" s="2" t="n">
        <v>12</v>
      </c>
    </row>
    <row r="76" customFormat="false" ht="15" hidden="false" customHeight="false" outlineLevel="0" collapsed="false">
      <c r="A76" s="2" t="s">
        <v>340</v>
      </c>
      <c r="B76" s="2" t="s">
        <v>16</v>
      </c>
      <c r="C76" s="2" t="s">
        <v>336</v>
      </c>
      <c r="D76" s="2" t="s">
        <v>341</v>
      </c>
      <c r="E76" s="2" t="s">
        <v>342</v>
      </c>
      <c r="F76" s="2"/>
      <c r="G76" s="2" t="n">
        <v>62</v>
      </c>
      <c r="H76" s="2" t="s">
        <v>295</v>
      </c>
      <c r="I76" s="2"/>
      <c r="J76" s="2"/>
      <c r="K76" s="2" t="s">
        <v>188</v>
      </c>
      <c r="L76" s="2"/>
      <c r="M76" s="3" t="n">
        <v>9</v>
      </c>
      <c r="N76" s="4" t="s">
        <v>343</v>
      </c>
      <c r="O76" s="2" t="n">
        <v>12</v>
      </c>
    </row>
    <row r="77" customFormat="false" ht="23.85" hidden="false" customHeight="false" outlineLevel="0" collapsed="false">
      <c r="A77" s="2" t="s">
        <v>344</v>
      </c>
      <c r="B77" s="2" t="s">
        <v>16</v>
      </c>
      <c r="C77" s="2" t="s">
        <v>336</v>
      </c>
      <c r="D77" s="2" t="s">
        <v>345</v>
      </c>
      <c r="E77" s="2" t="s">
        <v>346</v>
      </c>
      <c r="F77" s="2"/>
      <c r="G77" s="2" t="n">
        <v>50.5</v>
      </c>
      <c r="H77" s="2" t="s">
        <v>347</v>
      </c>
      <c r="I77" s="2"/>
      <c r="J77" s="2"/>
      <c r="K77" s="2" t="s">
        <v>188</v>
      </c>
      <c r="L77" s="2"/>
      <c r="M77" s="3" t="n">
        <v>8.25</v>
      </c>
      <c r="N77" s="4" t="s">
        <v>348</v>
      </c>
      <c r="O77" s="2" t="n">
        <v>12</v>
      </c>
    </row>
    <row r="78" customFormat="false" ht="15" hidden="false" customHeight="false" outlineLevel="0" collapsed="false">
      <c r="A78" s="2" t="s">
        <v>349</v>
      </c>
      <c r="B78" s="2" t="s">
        <v>16</v>
      </c>
      <c r="C78" s="2" t="s">
        <v>336</v>
      </c>
      <c r="D78" s="2" t="s">
        <v>350</v>
      </c>
      <c r="E78" s="2" t="s">
        <v>351</v>
      </c>
      <c r="F78" s="2"/>
      <c r="G78" s="2" t="n">
        <v>35</v>
      </c>
      <c r="H78" s="2" t="s">
        <v>352</v>
      </c>
      <c r="I78" s="2"/>
      <c r="J78" s="2"/>
      <c r="K78" s="2" t="s">
        <v>188</v>
      </c>
      <c r="L78" s="2"/>
      <c r="M78" s="3" t="n">
        <v>9.5</v>
      </c>
      <c r="N78" s="4" t="s">
        <v>353</v>
      </c>
      <c r="O78" s="2" t="n">
        <v>12</v>
      </c>
    </row>
    <row r="79" customFormat="false" ht="15" hidden="false" customHeight="false" outlineLevel="0" collapsed="false">
      <c r="A79" s="2" t="s">
        <v>354</v>
      </c>
      <c r="B79" s="2" t="s">
        <v>16</v>
      </c>
      <c r="C79" s="2" t="s">
        <v>336</v>
      </c>
      <c r="D79" s="2" t="s">
        <v>355</v>
      </c>
      <c r="E79" s="2" t="s">
        <v>356</v>
      </c>
      <c r="F79" s="2"/>
      <c r="G79" s="2" t="n">
        <v>66</v>
      </c>
      <c r="H79" s="2" t="s">
        <v>357</v>
      </c>
      <c r="I79" s="2"/>
      <c r="J79" s="2"/>
      <c r="K79" s="2" t="s">
        <v>193</v>
      </c>
      <c r="L79" s="2"/>
      <c r="M79" s="3" t="n">
        <v>13</v>
      </c>
      <c r="N79" s="4" t="s">
        <v>358</v>
      </c>
      <c r="O79" s="2" t="n">
        <v>12</v>
      </c>
    </row>
    <row r="80" customFormat="false" ht="15" hidden="false" customHeight="false" outlineLevel="0" collapsed="false">
      <c r="A80" s="2" t="s">
        <v>359</v>
      </c>
      <c r="B80" s="2" t="s">
        <v>16</v>
      </c>
      <c r="C80" s="2" t="s">
        <v>336</v>
      </c>
      <c r="D80" s="2" t="s">
        <v>360</v>
      </c>
      <c r="E80" s="2" t="s">
        <v>361</v>
      </c>
      <c r="F80" s="2"/>
      <c r="G80" s="2" t="n">
        <v>66</v>
      </c>
      <c r="H80" s="2" t="s">
        <v>357</v>
      </c>
      <c r="I80" s="2"/>
      <c r="J80" s="2"/>
      <c r="K80" s="2" t="s">
        <v>193</v>
      </c>
      <c r="L80" s="2"/>
      <c r="M80" s="3" t="n">
        <v>13</v>
      </c>
      <c r="N80" s="4" t="s">
        <v>362</v>
      </c>
      <c r="O80" s="2" t="n">
        <v>12</v>
      </c>
    </row>
    <row r="81" customFormat="false" ht="35.05" hidden="false" customHeight="false" outlineLevel="0" collapsed="false">
      <c r="A81" s="2" t="s">
        <v>363</v>
      </c>
      <c r="B81" s="2" t="s">
        <v>16</v>
      </c>
      <c r="C81" s="2" t="s">
        <v>364</v>
      </c>
      <c r="D81" s="2" t="s">
        <v>275</v>
      </c>
      <c r="E81" s="2" t="s">
        <v>365</v>
      </c>
      <c r="F81" s="2"/>
      <c r="G81" s="2" t="n">
        <v>124</v>
      </c>
      <c r="H81" s="2" t="s">
        <v>178</v>
      </c>
      <c r="I81" s="2"/>
      <c r="J81" s="2"/>
      <c r="K81" s="2" t="s">
        <v>20</v>
      </c>
      <c r="L81" s="2"/>
      <c r="M81" s="3" t="n">
        <v>220</v>
      </c>
      <c r="N81" s="4" t="s">
        <v>366</v>
      </c>
      <c r="O81" s="2" t="n">
        <v>12</v>
      </c>
    </row>
    <row r="82" customFormat="false" ht="23.85" hidden="false" customHeight="false" outlineLevel="0" collapsed="false">
      <c r="A82" s="2" t="s">
        <v>367</v>
      </c>
      <c r="B82" s="2" t="s">
        <v>16</v>
      </c>
      <c r="C82" s="2" t="s">
        <v>364</v>
      </c>
      <c r="D82" s="2" t="s">
        <v>368</v>
      </c>
      <c r="E82" s="2" t="s">
        <v>369</v>
      </c>
      <c r="F82" s="2"/>
      <c r="G82" s="2" t="n">
        <v>124</v>
      </c>
      <c r="H82" s="2" t="s">
        <v>178</v>
      </c>
      <c r="I82" s="2"/>
      <c r="J82" s="2"/>
      <c r="K82" s="2" t="s">
        <v>193</v>
      </c>
      <c r="L82" s="2"/>
      <c r="M82" s="3" t="n">
        <v>78</v>
      </c>
      <c r="N82" s="4" t="s">
        <v>370</v>
      </c>
      <c r="O82" s="2" t="n">
        <v>12</v>
      </c>
    </row>
    <row r="83" customFormat="false" ht="15" hidden="false" customHeight="false" outlineLevel="0" collapsed="false">
      <c r="A83" s="2" t="s">
        <v>371</v>
      </c>
      <c r="B83" s="2" t="s">
        <v>16</v>
      </c>
      <c r="C83" s="2" t="s">
        <v>364</v>
      </c>
      <c r="D83" s="2" t="s">
        <v>372</v>
      </c>
      <c r="E83" s="2" t="s">
        <v>373</v>
      </c>
      <c r="F83" s="2"/>
      <c r="G83" s="2"/>
      <c r="H83" s="2"/>
      <c r="I83" s="2"/>
      <c r="J83" s="2"/>
      <c r="K83" s="2" t="s">
        <v>193</v>
      </c>
      <c r="L83" s="2"/>
      <c r="M83" s="3" t="n">
        <v>9.5</v>
      </c>
      <c r="N83" s="4" t="s">
        <v>374</v>
      </c>
      <c r="O83" s="2" t="n">
        <v>12</v>
      </c>
    </row>
    <row r="84" customFormat="false" ht="15" hidden="false" customHeight="false" outlineLevel="0" collapsed="false">
      <c r="A84" s="2" t="s">
        <v>375</v>
      </c>
      <c r="B84" s="2" t="s">
        <v>16</v>
      </c>
      <c r="C84" s="2" t="s">
        <v>376</v>
      </c>
      <c r="D84" s="2" t="s">
        <v>377</v>
      </c>
      <c r="E84" s="2" t="s">
        <v>378</v>
      </c>
      <c r="F84" s="2"/>
      <c r="G84" s="2"/>
      <c r="H84" s="2"/>
      <c r="I84" s="2"/>
      <c r="J84" s="2"/>
      <c r="K84" s="2" t="s">
        <v>379</v>
      </c>
      <c r="L84" s="2"/>
      <c r="M84" s="3" t="n">
        <v>13</v>
      </c>
      <c r="N84" s="4" t="s">
        <v>380</v>
      </c>
      <c r="O84" s="2" t="n">
        <v>13</v>
      </c>
    </row>
    <row r="85" customFormat="false" ht="15" hidden="false" customHeight="false" outlineLevel="0" collapsed="false">
      <c r="A85" s="2" t="s">
        <v>381</v>
      </c>
      <c r="B85" s="2" t="s">
        <v>16</v>
      </c>
      <c r="C85" s="2" t="s">
        <v>376</v>
      </c>
      <c r="D85" s="2" t="s">
        <v>382</v>
      </c>
      <c r="E85" s="2" t="s">
        <v>383</v>
      </c>
      <c r="F85" s="2"/>
      <c r="G85" s="2"/>
      <c r="H85" s="2"/>
      <c r="I85" s="2"/>
      <c r="J85" s="2"/>
      <c r="K85" s="2" t="s">
        <v>20</v>
      </c>
      <c r="L85" s="2"/>
      <c r="M85" s="3" t="n">
        <v>11</v>
      </c>
      <c r="N85" s="4" t="s">
        <v>384</v>
      </c>
      <c r="O85" s="2" t="n">
        <v>13</v>
      </c>
    </row>
    <row r="86" customFormat="false" ht="15" hidden="false" customHeight="false" outlineLevel="0" collapsed="false">
      <c r="A86" s="2" t="s">
        <v>385</v>
      </c>
      <c r="B86" s="2" t="s">
        <v>16</v>
      </c>
      <c r="C86" s="2" t="s">
        <v>376</v>
      </c>
      <c r="D86" s="2" t="s">
        <v>386</v>
      </c>
      <c r="E86" s="2" t="s">
        <v>387</v>
      </c>
      <c r="F86" s="2"/>
      <c r="G86" s="2" t="n">
        <v>50</v>
      </c>
      <c r="H86" s="2" t="s">
        <v>347</v>
      </c>
      <c r="I86" s="2"/>
      <c r="J86" s="2"/>
      <c r="K86" s="2" t="s">
        <v>388</v>
      </c>
      <c r="L86" s="2"/>
      <c r="M86" s="3" t="n">
        <v>8</v>
      </c>
      <c r="N86" s="4" t="s">
        <v>389</v>
      </c>
      <c r="O86" s="2" t="n">
        <v>13</v>
      </c>
    </row>
    <row r="87" customFormat="false" ht="23.85" hidden="false" customHeight="false" outlineLevel="0" collapsed="false">
      <c r="A87" s="2" t="s">
        <v>390</v>
      </c>
      <c r="B87" s="2" t="s">
        <v>16</v>
      </c>
      <c r="C87" s="2" t="s">
        <v>376</v>
      </c>
      <c r="D87" s="2" t="s">
        <v>391</v>
      </c>
      <c r="E87" s="2" t="s">
        <v>392</v>
      </c>
      <c r="F87" s="2"/>
      <c r="G87" s="2" t="n">
        <v>50</v>
      </c>
      <c r="H87" s="2" t="s">
        <v>347</v>
      </c>
      <c r="I87" s="2"/>
      <c r="J87" s="2"/>
      <c r="K87" s="2" t="s">
        <v>388</v>
      </c>
      <c r="L87" s="2"/>
      <c r="M87" s="3" t="n">
        <v>13</v>
      </c>
      <c r="N87" s="4" t="s">
        <v>393</v>
      </c>
      <c r="O87" s="2" t="n">
        <v>13</v>
      </c>
    </row>
    <row r="88" customFormat="false" ht="23.85" hidden="false" customHeight="false" outlineLevel="0" collapsed="false">
      <c r="A88" s="2" t="s">
        <v>394</v>
      </c>
      <c r="B88" s="2" t="s">
        <v>16</v>
      </c>
      <c r="C88" s="2" t="s">
        <v>376</v>
      </c>
      <c r="D88" s="2" t="s">
        <v>395</v>
      </c>
      <c r="E88" s="2" t="s">
        <v>396</v>
      </c>
      <c r="F88" s="2"/>
      <c r="G88" s="2"/>
      <c r="H88" s="2"/>
      <c r="I88" s="2"/>
      <c r="J88" s="2"/>
      <c r="K88" s="2" t="s">
        <v>397</v>
      </c>
      <c r="L88" s="2"/>
      <c r="M88" s="3" t="n">
        <v>13</v>
      </c>
      <c r="N88" s="4" t="s">
        <v>398</v>
      </c>
      <c r="O88" s="2" t="n">
        <v>13</v>
      </c>
    </row>
    <row r="89" customFormat="false" ht="23.85" hidden="false" customHeight="false" outlineLevel="0" collapsed="false">
      <c r="A89" s="2" t="s">
        <v>399</v>
      </c>
      <c r="B89" s="2" t="s">
        <v>16</v>
      </c>
      <c r="C89" s="2" t="s">
        <v>376</v>
      </c>
      <c r="D89" s="2" t="s">
        <v>400</v>
      </c>
      <c r="E89" s="2" t="s">
        <v>401</v>
      </c>
      <c r="F89" s="2"/>
      <c r="G89" s="2" t="n">
        <v>50</v>
      </c>
      <c r="H89" s="2" t="s">
        <v>347</v>
      </c>
      <c r="I89" s="2"/>
      <c r="J89" s="2"/>
      <c r="K89" s="2" t="s">
        <v>388</v>
      </c>
      <c r="L89" s="2"/>
      <c r="M89" s="3" t="n">
        <v>13</v>
      </c>
      <c r="N89" s="4" t="s">
        <v>402</v>
      </c>
      <c r="O89" s="2" t="n">
        <v>13</v>
      </c>
    </row>
    <row r="90" customFormat="false" ht="15" hidden="false" customHeight="false" outlineLevel="0" collapsed="false">
      <c r="A90" s="2" t="s">
        <v>403</v>
      </c>
      <c r="B90" s="2" t="s">
        <v>16</v>
      </c>
      <c r="C90" s="2" t="s">
        <v>404</v>
      </c>
      <c r="D90" s="2" t="s">
        <v>405</v>
      </c>
      <c r="E90" s="2" t="s">
        <v>406</v>
      </c>
      <c r="F90" s="2"/>
      <c r="G90" s="2"/>
      <c r="H90" s="2"/>
      <c r="I90" s="2"/>
      <c r="J90" s="2"/>
      <c r="K90" s="2" t="s">
        <v>407</v>
      </c>
      <c r="L90" s="2"/>
      <c r="M90" s="3" t="n">
        <v>5.5</v>
      </c>
      <c r="N90" s="4" t="s">
        <v>408</v>
      </c>
      <c r="O90" s="2" t="n">
        <v>13</v>
      </c>
    </row>
    <row r="91" customFormat="false" ht="15" hidden="false" customHeight="false" outlineLevel="0" collapsed="false">
      <c r="A91" s="5" t="s">
        <v>409</v>
      </c>
      <c r="B91" s="5" t="s">
        <v>410</v>
      </c>
      <c r="C91" s="5" t="s">
        <v>411</v>
      </c>
      <c r="D91" s="5" t="s">
        <v>412</v>
      </c>
      <c r="E91" s="5" t="s">
        <v>413</v>
      </c>
      <c r="F91" s="5"/>
      <c r="G91" s="5"/>
      <c r="H91" s="5"/>
      <c r="I91" s="5"/>
      <c r="J91" s="5"/>
      <c r="K91" s="5" t="s">
        <v>20</v>
      </c>
      <c r="L91" s="5"/>
      <c r="M91" s="6" t="n">
        <v>23.5</v>
      </c>
      <c r="N91" s="7" t="s">
        <v>414</v>
      </c>
      <c r="O91" s="5" t="n">
        <v>13</v>
      </c>
    </row>
    <row r="92" customFormat="false" ht="15" hidden="false" customHeight="false" outlineLevel="0" collapsed="false">
      <c r="A92" s="5" t="s">
        <v>415</v>
      </c>
      <c r="B92" s="5" t="s">
        <v>410</v>
      </c>
      <c r="C92" s="5" t="s">
        <v>411</v>
      </c>
      <c r="D92" s="5" t="s">
        <v>416</v>
      </c>
      <c r="E92" s="5" t="s">
        <v>417</v>
      </c>
      <c r="F92" s="5"/>
      <c r="G92" s="5"/>
      <c r="H92" s="5"/>
      <c r="I92" s="5"/>
      <c r="J92" s="5"/>
      <c r="K92" s="5" t="s">
        <v>193</v>
      </c>
      <c r="L92" s="5"/>
      <c r="M92" s="6" t="n">
        <v>3.25</v>
      </c>
      <c r="N92" s="7" t="s">
        <v>418</v>
      </c>
      <c r="O92" s="5" t="n">
        <v>13</v>
      </c>
    </row>
    <row r="93" customFormat="false" ht="15" hidden="false" customHeight="false" outlineLevel="0" collapsed="false">
      <c r="A93" s="5" t="s">
        <v>419</v>
      </c>
      <c r="B93" s="5" t="s">
        <v>410</v>
      </c>
      <c r="C93" s="5" t="s">
        <v>411</v>
      </c>
      <c r="D93" s="5" t="s">
        <v>420</v>
      </c>
      <c r="E93" s="5" t="s">
        <v>421</v>
      </c>
      <c r="F93" s="5"/>
      <c r="G93" s="5"/>
      <c r="H93" s="5"/>
      <c r="I93" s="5"/>
      <c r="J93" s="5"/>
      <c r="K93" s="5" t="s">
        <v>193</v>
      </c>
      <c r="L93" s="5" t="s">
        <v>234</v>
      </c>
      <c r="M93" s="6" t="n">
        <v>8</v>
      </c>
      <c r="N93" s="7" t="s">
        <v>422</v>
      </c>
      <c r="O93" s="5" t="n">
        <v>13</v>
      </c>
    </row>
    <row r="94" customFormat="false" ht="23.85" hidden="false" customHeight="false" outlineLevel="0" collapsed="false">
      <c r="A94" s="2" t="s">
        <v>423</v>
      </c>
      <c r="B94" s="2" t="s">
        <v>16</v>
      </c>
      <c r="C94" s="2" t="s">
        <v>424</v>
      </c>
      <c r="D94" s="2" t="s">
        <v>425</v>
      </c>
      <c r="E94" s="2" t="s">
        <v>426</v>
      </c>
      <c r="F94" s="2" t="s">
        <v>427</v>
      </c>
      <c r="G94" s="2"/>
      <c r="H94" s="2"/>
      <c r="I94" s="2" t="n">
        <v>117</v>
      </c>
      <c r="J94" s="2" t="n">
        <v>45</v>
      </c>
      <c r="K94" s="2" t="s">
        <v>163</v>
      </c>
      <c r="L94" s="2"/>
      <c r="M94" s="3" t="n">
        <v>11</v>
      </c>
      <c r="N94" s="4" t="s">
        <v>428</v>
      </c>
      <c r="O94" s="2" t="n">
        <v>15</v>
      </c>
    </row>
    <row r="95" customFormat="false" ht="15" hidden="false" customHeight="false" outlineLevel="0" collapsed="false">
      <c r="A95" s="2" t="s">
        <v>429</v>
      </c>
      <c r="B95" s="2" t="s">
        <v>16</v>
      </c>
      <c r="C95" s="2" t="s">
        <v>424</v>
      </c>
      <c r="D95" s="2" t="s">
        <v>425</v>
      </c>
      <c r="E95" s="2" t="s">
        <v>430</v>
      </c>
      <c r="F95" s="2" t="s">
        <v>431</v>
      </c>
      <c r="G95" s="2"/>
      <c r="H95" s="2"/>
      <c r="I95" s="2" t="n">
        <v>150</v>
      </c>
      <c r="J95" s="2" t="n">
        <v>45</v>
      </c>
      <c r="K95" s="2" t="s">
        <v>163</v>
      </c>
      <c r="L95" s="2"/>
      <c r="M95" s="3" t="n">
        <v>11</v>
      </c>
      <c r="N95" s="4" t="s">
        <v>432</v>
      </c>
      <c r="O95" s="2" t="n">
        <v>15</v>
      </c>
    </row>
    <row r="96" customFormat="false" ht="15" hidden="false" customHeight="false" outlineLevel="0" collapsed="false">
      <c r="A96" s="2" t="s">
        <v>433</v>
      </c>
      <c r="B96" s="2" t="s">
        <v>16</v>
      </c>
      <c r="C96" s="2" t="s">
        <v>424</v>
      </c>
      <c r="D96" s="2" t="s">
        <v>425</v>
      </c>
      <c r="E96" s="2" t="s">
        <v>434</v>
      </c>
      <c r="F96" s="2" t="s">
        <v>435</v>
      </c>
      <c r="G96" s="2"/>
      <c r="H96" s="2"/>
      <c r="I96" s="2" t="n">
        <v>183</v>
      </c>
      <c r="J96" s="2" t="n">
        <v>45</v>
      </c>
      <c r="K96" s="2" t="s">
        <v>163</v>
      </c>
      <c r="L96" s="2"/>
      <c r="M96" s="3" t="n">
        <v>11</v>
      </c>
      <c r="N96" s="4" t="s">
        <v>436</v>
      </c>
      <c r="O96" s="2" t="n">
        <v>15</v>
      </c>
    </row>
    <row r="97" customFormat="false" ht="15" hidden="false" customHeight="false" outlineLevel="0" collapsed="false">
      <c r="A97" s="2" t="s">
        <v>437</v>
      </c>
      <c r="B97" s="2" t="s">
        <v>16</v>
      </c>
      <c r="C97" s="2" t="s">
        <v>424</v>
      </c>
      <c r="D97" s="2" t="s">
        <v>386</v>
      </c>
      <c r="E97" s="2" t="s">
        <v>438</v>
      </c>
      <c r="F97" s="2" t="s">
        <v>439</v>
      </c>
      <c r="G97" s="2"/>
      <c r="H97" s="2"/>
      <c r="I97" s="2" t="n">
        <v>216</v>
      </c>
      <c r="J97" s="2" t="n">
        <v>45</v>
      </c>
      <c r="K97" s="2" t="s">
        <v>163</v>
      </c>
      <c r="L97" s="2"/>
      <c r="M97" s="3" t="n">
        <v>10</v>
      </c>
      <c r="N97" s="4" t="s">
        <v>440</v>
      </c>
      <c r="O97" s="2" t="n">
        <v>15</v>
      </c>
    </row>
    <row r="98" customFormat="false" ht="15" hidden="false" customHeight="false" outlineLevel="0" collapsed="false">
      <c r="A98" s="2" t="s">
        <v>441</v>
      </c>
      <c r="B98" s="2" t="s">
        <v>16</v>
      </c>
      <c r="C98" s="2" t="s">
        <v>424</v>
      </c>
      <c r="D98" s="2" t="s">
        <v>386</v>
      </c>
      <c r="E98" s="2" t="s">
        <v>442</v>
      </c>
      <c r="F98" s="2" t="s">
        <v>443</v>
      </c>
      <c r="G98" s="2"/>
      <c r="H98" s="2"/>
      <c r="I98" s="2" t="n">
        <v>216</v>
      </c>
      <c r="J98" s="2" t="n">
        <v>15</v>
      </c>
      <c r="K98" s="2" t="s">
        <v>163</v>
      </c>
      <c r="L98" s="2"/>
      <c r="M98" s="3" t="n">
        <v>9.5</v>
      </c>
      <c r="N98" s="4" t="s">
        <v>444</v>
      </c>
      <c r="O98" s="2" t="n">
        <v>15</v>
      </c>
    </row>
    <row r="99" customFormat="false" ht="23.85" hidden="false" customHeight="false" outlineLevel="0" collapsed="false">
      <c r="A99" s="2" t="s">
        <v>445</v>
      </c>
      <c r="B99" s="2" t="s">
        <v>16</v>
      </c>
      <c r="C99" s="2" t="s">
        <v>424</v>
      </c>
      <c r="D99" s="2" t="s">
        <v>386</v>
      </c>
      <c r="E99" s="2" t="s">
        <v>446</v>
      </c>
      <c r="F99" s="2" t="s">
        <v>447</v>
      </c>
      <c r="G99" s="2"/>
      <c r="H99" s="2"/>
      <c r="I99" s="2" t="n">
        <v>249</v>
      </c>
      <c r="J99" s="2" t="n">
        <v>45</v>
      </c>
      <c r="K99" s="2" t="s">
        <v>163</v>
      </c>
      <c r="L99" s="2"/>
      <c r="M99" s="3" t="n">
        <v>10</v>
      </c>
      <c r="N99" s="4" t="s">
        <v>448</v>
      </c>
      <c r="O99" s="2" t="n">
        <v>15</v>
      </c>
    </row>
    <row r="100" customFormat="false" ht="15" hidden="false" customHeight="false" outlineLevel="0" collapsed="false">
      <c r="A100" s="2" t="s">
        <v>449</v>
      </c>
      <c r="B100" s="2" t="s">
        <v>16</v>
      </c>
      <c r="C100" s="2" t="s">
        <v>424</v>
      </c>
      <c r="D100" s="2" t="s">
        <v>386</v>
      </c>
      <c r="E100" s="2" t="s">
        <v>450</v>
      </c>
      <c r="F100" s="2" t="s">
        <v>451</v>
      </c>
      <c r="G100" s="2"/>
      <c r="H100" s="2"/>
      <c r="I100" s="2" t="n">
        <v>249</v>
      </c>
      <c r="J100" s="2" t="n">
        <v>15</v>
      </c>
      <c r="K100" s="2" t="s">
        <v>163</v>
      </c>
      <c r="L100" s="2"/>
      <c r="M100" s="3" t="n">
        <v>9.5</v>
      </c>
      <c r="N100" s="4" t="s">
        <v>452</v>
      </c>
      <c r="O100" s="2" t="n">
        <v>15</v>
      </c>
    </row>
    <row r="101" customFormat="false" ht="15" hidden="false" customHeight="false" outlineLevel="0" collapsed="false">
      <c r="A101" s="2" t="s">
        <v>453</v>
      </c>
      <c r="B101" s="2" t="s">
        <v>16</v>
      </c>
      <c r="C101" s="2" t="s">
        <v>424</v>
      </c>
      <c r="D101" s="2" t="s">
        <v>386</v>
      </c>
      <c r="E101" s="2" t="s">
        <v>454</v>
      </c>
      <c r="F101" s="2" t="s">
        <v>455</v>
      </c>
      <c r="G101" s="2"/>
      <c r="H101" s="2"/>
      <c r="I101" s="2" t="n">
        <v>282</v>
      </c>
      <c r="J101" s="2" t="n">
        <v>45</v>
      </c>
      <c r="K101" s="2" t="s">
        <v>163</v>
      </c>
      <c r="L101" s="2"/>
      <c r="M101" s="3" t="n">
        <v>11</v>
      </c>
      <c r="N101" s="4" t="s">
        <v>456</v>
      </c>
      <c r="O101" s="2" t="n">
        <v>15</v>
      </c>
    </row>
    <row r="102" customFormat="false" ht="15" hidden="false" customHeight="false" outlineLevel="0" collapsed="false">
      <c r="A102" s="2" t="s">
        <v>457</v>
      </c>
      <c r="B102" s="2" t="s">
        <v>16</v>
      </c>
      <c r="C102" s="2" t="s">
        <v>424</v>
      </c>
      <c r="D102" s="2" t="s">
        <v>386</v>
      </c>
      <c r="E102" s="2" t="s">
        <v>458</v>
      </c>
      <c r="F102" s="2" t="s">
        <v>459</v>
      </c>
      <c r="G102" s="2"/>
      <c r="H102" s="2"/>
      <c r="I102" s="2" t="n">
        <v>282</v>
      </c>
      <c r="J102" s="2" t="n">
        <v>15</v>
      </c>
      <c r="K102" s="2" t="s">
        <v>163</v>
      </c>
      <c r="L102" s="2"/>
      <c r="M102" s="3" t="n">
        <v>10.5</v>
      </c>
      <c r="N102" s="4" t="s">
        <v>460</v>
      </c>
      <c r="O102" s="2" t="n">
        <v>15</v>
      </c>
    </row>
    <row r="103" customFormat="false" ht="23.85" hidden="false" customHeight="false" outlineLevel="0" collapsed="false">
      <c r="A103" s="2" t="s">
        <v>461</v>
      </c>
      <c r="B103" s="2" t="s">
        <v>16</v>
      </c>
      <c r="C103" s="2" t="s">
        <v>424</v>
      </c>
      <c r="D103" s="2" t="s">
        <v>386</v>
      </c>
      <c r="E103" s="2" t="s">
        <v>462</v>
      </c>
      <c r="F103" s="2" t="s">
        <v>463</v>
      </c>
      <c r="G103" s="2"/>
      <c r="H103" s="2"/>
      <c r="I103" s="2" t="n">
        <v>315</v>
      </c>
      <c r="J103" s="2" t="n">
        <v>45</v>
      </c>
      <c r="K103" s="2" t="s">
        <v>163</v>
      </c>
      <c r="L103" s="2"/>
      <c r="M103" s="3" t="n">
        <v>11</v>
      </c>
      <c r="N103" s="4" t="s">
        <v>464</v>
      </c>
      <c r="O103" s="2" t="n">
        <v>15</v>
      </c>
    </row>
    <row r="104" customFormat="false" ht="15" hidden="false" customHeight="false" outlineLevel="0" collapsed="false">
      <c r="A104" s="2" t="s">
        <v>465</v>
      </c>
      <c r="B104" s="2" t="s">
        <v>16</v>
      </c>
      <c r="C104" s="2" t="s">
        <v>424</v>
      </c>
      <c r="D104" s="2" t="s">
        <v>386</v>
      </c>
      <c r="E104" s="2" t="s">
        <v>466</v>
      </c>
      <c r="F104" s="2" t="s">
        <v>467</v>
      </c>
      <c r="G104" s="2"/>
      <c r="H104" s="2"/>
      <c r="I104" s="2" t="n">
        <v>315</v>
      </c>
      <c r="J104" s="2" t="n">
        <v>15</v>
      </c>
      <c r="K104" s="2" t="s">
        <v>163</v>
      </c>
      <c r="L104" s="2"/>
      <c r="M104" s="3" t="n">
        <v>10.5</v>
      </c>
      <c r="N104" s="4" t="s">
        <v>468</v>
      </c>
      <c r="O104" s="2" t="n">
        <v>15</v>
      </c>
    </row>
    <row r="105" customFormat="false" ht="23.85" hidden="false" customHeight="false" outlineLevel="0" collapsed="false">
      <c r="A105" s="2" t="s">
        <v>469</v>
      </c>
      <c r="B105" s="2" t="s">
        <v>16</v>
      </c>
      <c r="C105" s="2" t="s">
        <v>424</v>
      </c>
      <c r="D105" s="2" t="s">
        <v>386</v>
      </c>
      <c r="E105" s="2" t="s">
        <v>470</v>
      </c>
      <c r="F105" s="2" t="s">
        <v>471</v>
      </c>
      <c r="G105" s="2"/>
      <c r="H105" s="2"/>
      <c r="I105" s="2" t="n">
        <v>348</v>
      </c>
      <c r="J105" s="2" t="n">
        <v>30</v>
      </c>
      <c r="K105" s="2" t="s">
        <v>163</v>
      </c>
      <c r="L105" s="2"/>
      <c r="M105" s="3" t="n">
        <v>11.5</v>
      </c>
      <c r="N105" s="4" t="s">
        <v>472</v>
      </c>
      <c r="O105" s="2" t="n">
        <v>15</v>
      </c>
    </row>
    <row r="106" customFormat="false" ht="15" hidden="false" customHeight="false" outlineLevel="0" collapsed="false">
      <c r="A106" s="2" t="s">
        <v>473</v>
      </c>
      <c r="B106" s="2" t="s">
        <v>16</v>
      </c>
      <c r="C106" s="2" t="s">
        <v>424</v>
      </c>
      <c r="D106" s="2" t="s">
        <v>386</v>
      </c>
      <c r="E106" s="2" t="s">
        <v>474</v>
      </c>
      <c r="F106" s="2" t="s">
        <v>475</v>
      </c>
      <c r="G106" s="2"/>
      <c r="H106" s="2"/>
      <c r="I106" s="2" t="n">
        <v>348</v>
      </c>
      <c r="J106" s="2" t="n">
        <v>45</v>
      </c>
      <c r="K106" s="2" t="s">
        <v>163</v>
      </c>
      <c r="L106" s="2"/>
      <c r="M106" s="3" t="n">
        <v>13</v>
      </c>
      <c r="N106" s="4" t="s">
        <v>476</v>
      </c>
      <c r="O106" s="2" t="n">
        <v>15</v>
      </c>
    </row>
    <row r="107" customFormat="false" ht="15" hidden="false" customHeight="false" outlineLevel="0" collapsed="false">
      <c r="A107" s="2" t="s">
        <v>477</v>
      </c>
      <c r="B107" s="2" t="s">
        <v>16</v>
      </c>
      <c r="C107" s="2" t="s">
        <v>424</v>
      </c>
      <c r="D107" s="2" t="s">
        <v>386</v>
      </c>
      <c r="E107" s="2" t="s">
        <v>478</v>
      </c>
      <c r="F107" s="2" t="s">
        <v>479</v>
      </c>
      <c r="G107" s="2"/>
      <c r="H107" s="2"/>
      <c r="I107" s="2" t="n">
        <v>381</v>
      </c>
      <c r="J107" s="2" t="n">
        <v>30</v>
      </c>
      <c r="K107" s="2" t="s">
        <v>163</v>
      </c>
      <c r="L107" s="2"/>
      <c r="M107" s="3" t="n">
        <v>11.5</v>
      </c>
      <c r="N107" s="4" t="s">
        <v>480</v>
      </c>
      <c r="O107" s="2" t="n">
        <v>15</v>
      </c>
    </row>
    <row r="108" customFormat="false" ht="23.85" hidden="false" customHeight="false" outlineLevel="0" collapsed="false">
      <c r="A108" s="2" t="s">
        <v>481</v>
      </c>
      <c r="B108" s="2" t="s">
        <v>16</v>
      </c>
      <c r="C108" s="2" t="s">
        <v>424</v>
      </c>
      <c r="D108" s="2" t="s">
        <v>386</v>
      </c>
      <c r="E108" s="2" t="s">
        <v>482</v>
      </c>
      <c r="F108" s="2" t="s">
        <v>483</v>
      </c>
      <c r="G108" s="2"/>
      <c r="H108" s="2"/>
      <c r="I108" s="2" t="n">
        <v>718</v>
      </c>
      <c r="J108" s="2" t="n">
        <v>15</v>
      </c>
      <c r="K108" s="2" t="s">
        <v>163</v>
      </c>
      <c r="L108" s="2"/>
      <c r="M108" s="3" t="n">
        <v>11.5</v>
      </c>
      <c r="N108" s="4" t="s">
        <v>484</v>
      </c>
      <c r="O108" s="2" t="n">
        <v>15</v>
      </c>
    </row>
    <row r="109" customFormat="false" ht="23.85" hidden="false" customHeight="false" outlineLevel="0" collapsed="false">
      <c r="A109" s="2" t="s">
        <v>485</v>
      </c>
      <c r="B109" s="2" t="s">
        <v>16</v>
      </c>
      <c r="C109" s="2" t="s">
        <v>424</v>
      </c>
      <c r="D109" s="2" t="s">
        <v>386</v>
      </c>
      <c r="E109" s="2" t="s">
        <v>486</v>
      </c>
      <c r="F109" s="2" t="s">
        <v>487</v>
      </c>
      <c r="G109" s="2"/>
      <c r="H109" s="2"/>
      <c r="I109" s="2" t="n">
        <v>481</v>
      </c>
      <c r="J109" s="2" t="n">
        <v>15</v>
      </c>
      <c r="K109" s="2" t="s">
        <v>163</v>
      </c>
      <c r="L109" s="2"/>
      <c r="M109" s="3" t="n">
        <v>9.5</v>
      </c>
      <c r="N109" s="4" t="s">
        <v>488</v>
      </c>
      <c r="O109" s="2" t="n">
        <v>15</v>
      </c>
    </row>
    <row r="110" customFormat="false" ht="15" hidden="false" customHeight="false" outlineLevel="0" collapsed="false">
      <c r="A110" s="2" t="s">
        <v>489</v>
      </c>
      <c r="B110" s="2" t="s">
        <v>16</v>
      </c>
      <c r="C110" s="2" t="s">
        <v>424</v>
      </c>
      <c r="D110" s="2" t="s">
        <v>197</v>
      </c>
      <c r="E110" s="2" t="s">
        <v>490</v>
      </c>
      <c r="F110" s="2" t="s">
        <v>491</v>
      </c>
      <c r="G110" s="2"/>
      <c r="H110" s="2"/>
      <c r="I110" s="2" t="n">
        <v>249</v>
      </c>
      <c r="J110" s="2" t="n">
        <v>45</v>
      </c>
      <c r="K110" s="2" t="s">
        <v>188</v>
      </c>
      <c r="L110" s="2"/>
      <c r="M110" s="3" t="n">
        <v>13.5</v>
      </c>
      <c r="N110" s="4" t="s">
        <v>492</v>
      </c>
      <c r="O110" s="2" t="n">
        <v>15</v>
      </c>
    </row>
    <row r="111" customFormat="false" ht="15" hidden="false" customHeight="false" outlineLevel="0" collapsed="false">
      <c r="A111" s="2" t="s">
        <v>493</v>
      </c>
      <c r="B111" s="2" t="s">
        <v>16</v>
      </c>
      <c r="C111" s="2" t="s">
        <v>424</v>
      </c>
      <c r="D111" s="2" t="s">
        <v>197</v>
      </c>
      <c r="E111" s="2" t="s">
        <v>494</v>
      </c>
      <c r="F111" s="2" t="s">
        <v>495</v>
      </c>
      <c r="G111" s="2"/>
      <c r="H111" s="2"/>
      <c r="I111" s="2" t="n">
        <v>282</v>
      </c>
      <c r="J111" s="2" t="n">
        <v>45</v>
      </c>
      <c r="K111" s="2" t="s">
        <v>188</v>
      </c>
      <c r="L111" s="2"/>
      <c r="M111" s="3" t="n">
        <v>14</v>
      </c>
      <c r="N111" s="4" t="s">
        <v>496</v>
      </c>
      <c r="O111" s="2" t="n">
        <v>15</v>
      </c>
    </row>
    <row r="112" customFormat="false" ht="15" hidden="false" customHeight="false" outlineLevel="0" collapsed="false">
      <c r="A112" s="2" t="s">
        <v>497</v>
      </c>
      <c r="B112" s="2" t="s">
        <v>16</v>
      </c>
      <c r="C112" s="2" t="s">
        <v>424</v>
      </c>
      <c r="D112" s="2" t="s">
        <v>197</v>
      </c>
      <c r="E112" s="2" t="s">
        <v>498</v>
      </c>
      <c r="F112" s="2" t="s">
        <v>499</v>
      </c>
      <c r="G112" s="2"/>
      <c r="H112" s="2"/>
      <c r="I112" s="2" t="n">
        <v>315</v>
      </c>
      <c r="J112" s="2" t="n">
        <v>45</v>
      </c>
      <c r="K112" s="2" t="s">
        <v>188</v>
      </c>
      <c r="L112" s="2"/>
      <c r="M112" s="3" t="n">
        <v>14</v>
      </c>
      <c r="N112" s="4" t="s">
        <v>500</v>
      </c>
      <c r="O112" s="2" t="n">
        <v>15</v>
      </c>
    </row>
    <row r="113" customFormat="false" ht="15" hidden="false" customHeight="false" outlineLevel="0" collapsed="false">
      <c r="A113" s="2" t="s">
        <v>501</v>
      </c>
      <c r="B113" s="2" t="s">
        <v>16</v>
      </c>
      <c r="C113" s="2" t="s">
        <v>424</v>
      </c>
      <c r="D113" s="2" t="s">
        <v>197</v>
      </c>
      <c r="E113" s="2" t="s">
        <v>502</v>
      </c>
      <c r="F113" s="2" t="s">
        <v>503</v>
      </c>
      <c r="G113" s="2"/>
      <c r="H113" s="2"/>
      <c r="I113" s="2" t="n">
        <v>348</v>
      </c>
      <c r="J113" s="2" t="n">
        <v>45</v>
      </c>
      <c r="K113" s="2" t="s">
        <v>188</v>
      </c>
      <c r="L113" s="2"/>
      <c r="M113" s="3" t="n">
        <v>14.5</v>
      </c>
      <c r="N113" s="4" t="s">
        <v>504</v>
      </c>
      <c r="O113" s="2" t="n">
        <v>15</v>
      </c>
    </row>
    <row r="114" customFormat="false" ht="15" hidden="false" customHeight="false" outlineLevel="0" collapsed="false">
      <c r="A114" s="2" t="s">
        <v>505</v>
      </c>
      <c r="B114" s="2" t="s">
        <v>16</v>
      </c>
      <c r="C114" s="2" t="s">
        <v>424</v>
      </c>
      <c r="D114" s="2" t="s">
        <v>197</v>
      </c>
      <c r="E114" s="2" t="s">
        <v>506</v>
      </c>
      <c r="F114" s="2" t="s">
        <v>507</v>
      </c>
      <c r="G114" s="2"/>
      <c r="H114" s="2"/>
      <c r="I114" s="2" t="n">
        <v>348</v>
      </c>
      <c r="J114" s="2" t="n">
        <v>30</v>
      </c>
      <c r="K114" s="2" t="s">
        <v>188</v>
      </c>
      <c r="L114" s="2"/>
      <c r="M114" s="3" t="n">
        <v>13.5</v>
      </c>
      <c r="N114" s="4" t="s">
        <v>508</v>
      </c>
      <c r="O114" s="2" t="n">
        <v>15</v>
      </c>
    </row>
    <row r="115" customFormat="false" ht="15" hidden="false" customHeight="false" outlineLevel="0" collapsed="false">
      <c r="A115" s="2" t="s">
        <v>509</v>
      </c>
      <c r="B115" s="2" t="s">
        <v>16</v>
      </c>
      <c r="C115" s="2" t="s">
        <v>424</v>
      </c>
      <c r="D115" s="2" t="s">
        <v>197</v>
      </c>
      <c r="E115" s="2" t="s">
        <v>510</v>
      </c>
      <c r="F115" s="2" t="s">
        <v>511</v>
      </c>
      <c r="G115" s="2"/>
      <c r="H115" s="2"/>
      <c r="I115" s="2" t="n">
        <v>381</v>
      </c>
      <c r="J115" s="2" t="n">
        <v>30</v>
      </c>
      <c r="K115" s="2" t="s">
        <v>188</v>
      </c>
      <c r="L115" s="2"/>
      <c r="M115" s="3" t="n">
        <v>13.5</v>
      </c>
      <c r="N115" s="4" t="s">
        <v>512</v>
      </c>
      <c r="O115" s="2" t="n">
        <v>15</v>
      </c>
    </row>
    <row r="116" customFormat="false" ht="23.85" hidden="false" customHeight="false" outlineLevel="0" collapsed="false">
      <c r="A116" s="2" t="s">
        <v>513</v>
      </c>
      <c r="B116" s="2" t="s">
        <v>16</v>
      </c>
      <c r="C116" s="2" t="s">
        <v>210</v>
      </c>
      <c r="D116" s="2" t="s">
        <v>514</v>
      </c>
      <c r="E116" s="2" t="s">
        <v>515</v>
      </c>
      <c r="F116" s="2" t="s">
        <v>516</v>
      </c>
      <c r="G116" s="2"/>
      <c r="H116" s="2"/>
      <c r="I116" s="2" t="n">
        <v>448</v>
      </c>
      <c r="J116" s="2" t="n">
        <v>15</v>
      </c>
      <c r="K116" s="2" t="s">
        <v>193</v>
      </c>
      <c r="L116" s="2" t="s">
        <v>218</v>
      </c>
      <c r="M116" s="3" t="n">
        <v>15</v>
      </c>
      <c r="N116" s="4" t="s">
        <v>517</v>
      </c>
      <c r="O116" s="2" t="n">
        <v>15</v>
      </c>
    </row>
    <row r="117" customFormat="false" ht="15" hidden="false" customHeight="false" outlineLevel="0" collapsed="false">
      <c r="A117" s="2" t="s">
        <v>518</v>
      </c>
      <c r="B117" s="2" t="s">
        <v>16</v>
      </c>
      <c r="C117" s="2" t="s">
        <v>210</v>
      </c>
      <c r="D117" s="2" t="s">
        <v>514</v>
      </c>
      <c r="E117" s="2" t="s">
        <v>519</v>
      </c>
      <c r="F117" s="2" t="s">
        <v>516</v>
      </c>
      <c r="G117" s="2"/>
      <c r="H117" s="2"/>
      <c r="I117" s="2" t="n">
        <v>448</v>
      </c>
      <c r="J117" s="2" t="n">
        <v>15</v>
      </c>
      <c r="K117" s="2" t="s">
        <v>193</v>
      </c>
      <c r="L117" s="2" t="s">
        <v>222</v>
      </c>
      <c r="M117" s="3" t="n">
        <v>15</v>
      </c>
      <c r="N117" s="4" t="s">
        <v>520</v>
      </c>
      <c r="O117" s="2" t="n">
        <v>15</v>
      </c>
    </row>
    <row r="118" customFormat="false" ht="15" hidden="false" customHeight="false" outlineLevel="0" collapsed="false">
      <c r="A118" s="2" t="s">
        <v>521</v>
      </c>
      <c r="B118" s="2" t="s">
        <v>16</v>
      </c>
      <c r="C118" s="2" t="s">
        <v>210</v>
      </c>
      <c r="D118" s="2" t="s">
        <v>514</v>
      </c>
      <c r="E118" s="2" t="s">
        <v>522</v>
      </c>
      <c r="F118" s="2" t="s">
        <v>516</v>
      </c>
      <c r="G118" s="2"/>
      <c r="H118" s="2"/>
      <c r="I118" s="2" t="n">
        <v>448</v>
      </c>
      <c r="J118" s="2" t="n">
        <v>15</v>
      </c>
      <c r="K118" s="2" t="s">
        <v>193</v>
      </c>
      <c r="L118" s="2" t="s">
        <v>226</v>
      </c>
      <c r="M118" s="3" t="n">
        <v>15</v>
      </c>
      <c r="N118" s="4" t="s">
        <v>523</v>
      </c>
      <c r="O118" s="2" t="n">
        <v>15</v>
      </c>
    </row>
    <row r="119" customFormat="false" ht="15" hidden="false" customHeight="false" outlineLevel="0" collapsed="false">
      <c r="A119" s="2" t="s">
        <v>524</v>
      </c>
      <c r="B119" s="2" t="s">
        <v>16</v>
      </c>
      <c r="C119" s="2" t="s">
        <v>210</v>
      </c>
      <c r="D119" s="2" t="s">
        <v>514</v>
      </c>
      <c r="E119" s="2" t="s">
        <v>525</v>
      </c>
      <c r="F119" s="2" t="s">
        <v>526</v>
      </c>
      <c r="G119" s="2"/>
      <c r="H119" s="2"/>
      <c r="I119" s="2" t="n">
        <v>481</v>
      </c>
      <c r="J119" s="2" t="n">
        <v>15</v>
      </c>
      <c r="K119" s="2" t="s">
        <v>193</v>
      </c>
      <c r="L119" s="2" t="s">
        <v>218</v>
      </c>
      <c r="M119" s="3" t="n">
        <v>15</v>
      </c>
      <c r="N119" s="4" t="s">
        <v>527</v>
      </c>
      <c r="O119" s="2" t="n">
        <v>15</v>
      </c>
    </row>
    <row r="120" customFormat="false" ht="15" hidden="false" customHeight="false" outlineLevel="0" collapsed="false">
      <c r="A120" s="2" t="s">
        <v>528</v>
      </c>
      <c r="B120" s="2" t="s">
        <v>16</v>
      </c>
      <c r="C120" s="2" t="s">
        <v>210</v>
      </c>
      <c r="D120" s="2" t="s">
        <v>514</v>
      </c>
      <c r="E120" s="2" t="s">
        <v>529</v>
      </c>
      <c r="F120" s="2" t="s">
        <v>526</v>
      </c>
      <c r="G120" s="2"/>
      <c r="H120" s="2"/>
      <c r="I120" s="2" t="n">
        <v>481</v>
      </c>
      <c r="J120" s="2" t="n">
        <v>15</v>
      </c>
      <c r="K120" s="2" t="s">
        <v>193</v>
      </c>
      <c r="L120" s="2" t="s">
        <v>222</v>
      </c>
      <c r="M120" s="3" t="n">
        <v>15</v>
      </c>
      <c r="N120" s="4" t="s">
        <v>530</v>
      </c>
      <c r="O120" s="2" t="n">
        <v>15</v>
      </c>
    </row>
    <row r="121" customFormat="false" ht="15" hidden="false" customHeight="false" outlineLevel="0" collapsed="false">
      <c r="A121" s="2" t="s">
        <v>531</v>
      </c>
      <c r="B121" s="2" t="s">
        <v>16</v>
      </c>
      <c r="C121" s="2" t="s">
        <v>210</v>
      </c>
      <c r="D121" s="2" t="s">
        <v>514</v>
      </c>
      <c r="E121" s="2" t="s">
        <v>532</v>
      </c>
      <c r="F121" s="2" t="s">
        <v>526</v>
      </c>
      <c r="G121" s="2"/>
      <c r="H121" s="2"/>
      <c r="I121" s="2" t="n">
        <v>481</v>
      </c>
      <c r="J121" s="2" t="n">
        <v>15</v>
      </c>
      <c r="K121" s="2" t="s">
        <v>193</v>
      </c>
      <c r="L121" s="2" t="s">
        <v>226</v>
      </c>
      <c r="M121" s="3" t="n">
        <v>15</v>
      </c>
      <c r="N121" s="4" t="s">
        <v>533</v>
      </c>
      <c r="O121" s="2" t="n">
        <v>15</v>
      </c>
    </row>
    <row r="122" customFormat="false" ht="23.85" hidden="false" customHeight="false" outlineLevel="0" collapsed="false">
      <c r="A122" s="2" t="s">
        <v>534</v>
      </c>
      <c r="B122" s="2" t="s">
        <v>16</v>
      </c>
      <c r="C122" s="2" t="s">
        <v>535</v>
      </c>
      <c r="D122" s="2" t="s">
        <v>536</v>
      </c>
      <c r="E122" s="2" t="s">
        <v>537</v>
      </c>
      <c r="F122" s="2"/>
      <c r="G122" s="2"/>
      <c r="H122" s="2"/>
      <c r="I122" s="2" t="n">
        <v>448</v>
      </c>
      <c r="J122" s="2" t="n">
        <v>60</v>
      </c>
      <c r="K122" s="2" t="s">
        <v>20</v>
      </c>
      <c r="L122" s="2" t="s">
        <v>222</v>
      </c>
      <c r="M122" s="3" t="n">
        <v>95</v>
      </c>
      <c r="N122" s="4" t="s">
        <v>538</v>
      </c>
      <c r="O122" s="2" t="n">
        <v>15</v>
      </c>
    </row>
    <row r="123" customFormat="false" ht="23.85" hidden="false" customHeight="false" outlineLevel="0" collapsed="false">
      <c r="A123" s="2" t="s">
        <v>539</v>
      </c>
      <c r="B123" s="2" t="s">
        <v>16</v>
      </c>
      <c r="C123" s="2" t="s">
        <v>535</v>
      </c>
      <c r="D123" s="2" t="s">
        <v>536</v>
      </c>
      <c r="E123" s="2" t="s">
        <v>540</v>
      </c>
      <c r="F123" s="2"/>
      <c r="G123" s="2"/>
      <c r="H123" s="2"/>
      <c r="I123" s="2" t="n">
        <v>481</v>
      </c>
      <c r="J123" s="2" t="n">
        <v>60</v>
      </c>
      <c r="K123" s="2" t="s">
        <v>20</v>
      </c>
      <c r="L123" s="2" t="s">
        <v>218</v>
      </c>
      <c r="M123" s="3" t="n">
        <v>70</v>
      </c>
      <c r="N123" s="4" t="s">
        <v>541</v>
      </c>
      <c r="O123" s="2" t="n">
        <v>15</v>
      </c>
    </row>
    <row r="124" customFormat="false" ht="15" hidden="false" customHeight="false" outlineLevel="0" collapsed="false">
      <c r="A124" s="2" t="s">
        <v>542</v>
      </c>
      <c r="B124" s="2" t="s">
        <v>16</v>
      </c>
      <c r="C124" s="2" t="s">
        <v>543</v>
      </c>
      <c r="D124" s="2" t="s">
        <v>544</v>
      </c>
      <c r="E124" s="2" t="s">
        <v>545</v>
      </c>
      <c r="F124" s="2" t="s">
        <v>546</v>
      </c>
      <c r="G124" s="2"/>
      <c r="H124" s="2"/>
      <c r="I124" s="2" t="n">
        <v>718</v>
      </c>
      <c r="J124" s="2"/>
      <c r="K124" s="2" t="s">
        <v>193</v>
      </c>
      <c r="L124" s="2"/>
      <c r="M124" s="3" t="n">
        <v>27</v>
      </c>
      <c r="N124" s="4" t="s">
        <v>547</v>
      </c>
      <c r="O124" s="2" t="n">
        <v>16</v>
      </c>
    </row>
    <row r="125" customFormat="false" ht="15" hidden="false" customHeight="false" outlineLevel="0" collapsed="false">
      <c r="A125" s="2" t="s">
        <v>548</v>
      </c>
      <c r="B125" s="2" t="s">
        <v>16</v>
      </c>
      <c r="C125" s="2" t="s">
        <v>543</v>
      </c>
      <c r="D125" s="2" t="s">
        <v>544</v>
      </c>
      <c r="E125" s="2" t="s">
        <v>549</v>
      </c>
      <c r="F125" s="2" t="s">
        <v>550</v>
      </c>
      <c r="G125" s="2"/>
      <c r="H125" s="2"/>
      <c r="I125" s="2" t="n">
        <v>718</v>
      </c>
      <c r="J125" s="2"/>
      <c r="K125" s="2" t="s">
        <v>193</v>
      </c>
      <c r="L125" s="2"/>
      <c r="M125" s="3" t="n">
        <v>27</v>
      </c>
      <c r="N125" s="4" t="s">
        <v>551</v>
      </c>
      <c r="O125" s="2" t="n">
        <v>16</v>
      </c>
    </row>
    <row r="126" customFormat="false" ht="15" hidden="false" customHeight="false" outlineLevel="0" collapsed="false">
      <c r="A126" s="2" t="s">
        <v>552</v>
      </c>
      <c r="B126" s="2" t="s">
        <v>16</v>
      </c>
      <c r="C126" s="2" t="s">
        <v>543</v>
      </c>
      <c r="D126" s="2" t="s">
        <v>553</v>
      </c>
      <c r="E126" s="2" t="s">
        <v>554</v>
      </c>
      <c r="F126" s="2" t="s">
        <v>555</v>
      </c>
      <c r="G126" s="2"/>
      <c r="H126" s="2"/>
      <c r="I126" s="2" t="n">
        <v>481</v>
      </c>
      <c r="J126" s="2"/>
      <c r="K126" s="2" t="s">
        <v>193</v>
      </c>
      <c r="L126" s="2"/>
      <c r="M126" s="3" t="n">
        <v>37.5</v>
      </c>
      <c r="N126" s="4" t="s">
        <v>556</v>
      </c>
      <c r="O126" s="2" t="n">
        <v>16</v>
      </c>
    </row>
    <row r="127" customFormat="false" ht="15" hidden="false" customHeight="false" outlineLevel="0" collapsed="false">
      <c r="A127" s="2" t="s">
        <v>557</v>
      </c>
      <c r="B127" s="2" t="s">
        <v>16</v>
      </c>
      <c r="C127" s="2" t="s">
        <v>543</v>
      </c>
      <c r="D127" s="2" t="s">
        <v>553</v>
      </c>
      <c r="E127" s="2" t="s">
        <v>558</v>
      </c>
      <c r="F127" s="2" t="s">
        <v>559</v>
      </c>
      <c r="G127" s="2"/>
      <c r="H127" s="2"/>
      <c r="I127" s="2" t="n">
        <v>481</v>
      </c>
      <c r="J127" s="2"/>
      <c r="K127" s="2" t="s">
        <v>193</v>
      </c>
      <c r="L127" s="2"/>
      <c r="M127" s="3" t="n">
        <v>37.5</v>
      </c>
      <c r="N127" s="4" t="s">
        <v>560</v>
      </c>
      <c r="O127" s="2" t="n">
        <v>16</v>
      </c>
    </row>
    <row r="128" customFormat="false" ht="15" hidden="false" customHeight="false" outlineLevel="0" collapsed="false">
      <c r="A128" s="2" t="s">
        <v>561</v>
      </c>
      <c r="B128" s="2" t="s">
        <v>16</v>
      </c>
      <c r="C128" s="2" t="s">
        <v>543</v>
      </c>
      <c r="D128" s="2" t="s">
        <v>562</v>
      </c>
      <c r="E128" s="2" t="s">
        <v>563</v>
      </c>
      <c r="F128" s="2"/>
      <c r="G128" s="2"/>
      <c r="H128" s="2"/>
      <c r="I128" s="2" t="n">
        <v>481</v>
      </c>
      <c r="J128" s="2"/>
      <c r="K128" s="2" t="s">
        <v>193</v>
      </c>
      <c r="L128" s="2"/>
      <c r="M128" s="3" t="n">
        <v>32</v>
      </c>
      <c r="N128" s="4" t="s">
        <v>564</v>
      </c>
      <c r="O128" s="2" t="n">
        <v>16</v>
      </c>
    </row>
    <row r="129" customFormat="false" ht="15" hidden="false" customHeight="false" outlineLevel="0" collapsed="false">
      <c r="A129" s="2" t="s">
        <v>565</v>
      </c>
      <c r="B129" s="2" t="s">
        <v>16</v>
      </c>
      <c r="C129" s="2" t="s">
        <v>566</v>
      </c>
      <c r="D129" s="2" t="s">
        <v>567</v>
      </c>
      <c r="E129" s="2" t="s">
        <v>568</v>
      </c>
      <c r="F129" s="2" t="s">
        <v>569</v>
      </c>
      <c r="G129" s="2" t="n">
        <v>310</v>
      </c>
      <c r="H129" s="2" t="s">
        <v>570</v>
      </c>
      <c r="I129" s="2"/>
      <c r="J129" s="2"/>
      <c r="K129" s="2" t="s">
        <v>193</v>
      </c>
      <c r="L129" s="2"/>
      <c r="M129" s="3" t="n">
        <v>75</v>
      </c>
      <c r="N129" s="4" t="s">
        <v>571</v>
      </c>
      <c r="O129" s="2" t="n">
        <v>16</v>
      </c>
    </row>
    <row r="130" customFormat="false" ht="15" hidden="false" customHeight="false" outlineLevel="0" collapsed="false">
      <c r="A130" s="2" t="s">
        <v>572</v>
      </c>
      <c r="B130" s="2" t="s">
        <v>16</v>
      </c>
      <c r="C130" s="2" t="s">
        <v>364</v>
      </c>
      <c r="D130" s="2" t="s">
        <v>573</v>
      </c>
      <c r="E130" s="2" t="s">
        <v>574</v>
      </c>
      <c r="F130" s="2"/>
      <c r="G130" s="2"/>
      <c r="H130" s="2"/>
      <c r="I130" s="2"/>
      <c r="J130" s="2" t="n">
        <v>90</v>
      </c>
      <c r="K130" s="2" t="s">
        <v>193</v>
      </c>
      <c r="L130" s="2"/>
      <c r="M130" s="3" t="n">
        <v>21</v>
      </c>
      <c r="N130" s="4" t="s">
        <v>575</v>
      </c>
      <c r="O130" s="2" t="n">
        <v>16</v>
      </c>
    </row>
    <row r="131" customFormat="false" ht="15" hidden="false" customHeight="false" outlineLevel="0" collapsed="false">
      <c r="A131" s="2" t="s">
        <v>576</v>
      </c>
      <c r="B131" s="2" t="s">
        <v>16</v>
      </c>
      <c r="C131" s="2" t="s">
        <v>364</v>
      </c>
      <c r="D131" s="2" t="s">
        <v>577</v>
      </c>
      <c r="E131" s="2" t="s">
        <v>578</v>
      </c>
      <c r="F131" s="2"/>
      <c r="G131" s="2" t="n">
        <v>186</v>
      </c>
      <c r="H131" s="2" t="s">
        <v>173</v>
      </c>
      <c r="I131" s="2"/>
      <c r="J131" s="2" t="n">
        <v>15</v>
      </c>
      <c r="K131" s="2" t="s">
        <v>193</v>
      </c>
      <c r="L131" s="2"/>
      <c r="M131" s="3" t="n">
        <v>16</v>
      </c>
      <c r="N131" s="4" t="s">
        <v>579</v>
      </c>
      <c r="O131" s="2" t="n">
        <v>16</v>
      </c>
    </row>
    <row r="132" customFormat="false" ht="15" hidden="false" customHeight="false" outlineLevel="0" collapsed="false">
      <c r="A132" s="2" t="s">
        <v>580</v>
      </c>
      <c r="B132" s="2" t="s">
        <v>16</v>
      </c>
      <c r="C132" s="2" t="s">
        <v>364</v>
      </c>
      <c r="D132" s="2" t="s">
        <v>581</v>
      </c>
      <c r="E132" s="2" t="s">
        <v>582</v>
      </c>
      <c r="F132" s="2"/>
      <c r="G132" s="2" t="n">
        <v>186</v>
      </c>
      <c r="H132" s="2" t="s">
        <v>173</v>
      </c>
      <c r="I132" s="2"/>
      <c r="J132" s="2" t="n">
        <v>15</v>
      </c>
      <c r="K132" s="2" t="s">
        <v>193</v>
      </c>
      <c r="L132" s="2"/>
      <c r="M132" s="3" t="n">
        <v>16</v>
      </c>
      <c r="N132" s="4" t="s">
        <v>583</v>
      </c>
      <c r="O132" s="2" t="n">
        <v>16</v>
      </c>
    </row>
    <row r="133" customFormat="false" ht="15" hidden="false" customHeight="false" outlineLevel="0" collapsed="false">
      <c r="A133" s="2" t="s">
        <v>584</v>
      </c>
      <c r="B133" s="2" t="s">
        <v>16</v>
      </c>
      <c r="C133" s="2" t="s">
        <v>543</v>
      </c>
      <c r="D133" s="2" t="s">
        <v>585</v>
      </c>
      <c r="E133" s="2" t="s">
        <v>586</v>
      </c>
      <c r="F133" s="2"/>
      <c r="G133" s="2" t="n">
        <v>248</v>
      </c>
      <c r="H133" s="2" t="s">
        <v>162</v>
      </c>
      <c r="I133" s="2"/>
      <c r="J133" s="2"/>
      <c r="K133" s="2" t="s">
        <v>193</v>
      </c>
      <c r="L133" s="2"/>
      <c r="M133" s="3" t="n">
        <v>66</v>
      </c>
      <c r="N133" s="4" t="s">
        <v>587</v>
      </c>
      <c r="O133" s="2" t="n">
        <v>16</v>
      </c>
    </row>
    <row r="134" customFormat="false" ht="15" hidden="false" customHeight="false" outlineLevel="0" collapsed="false">
      <c r="A134" s="2" t="s">
        <v>588</v>
      </c>
      <c r="B134" s="2" t="s">
        <v>16</v>
      </c>
      <c r="C134" s="2" t="s">
        <v>543</v>
      </c>
      <c r="D134" s="2" t="s">
        <v>585</v>
      </c>
      <c r="E134" s="2" t="s">
        <v>589</v>
      </c>
      <c r="F134" s="2"/>
      <c r="G134" s="2" t="n">
        <v>248</v>
      </c>
      <c r="H134" s="2" t="s">
        <v>162</v>
      </c>
      <c r="I134" s="2"/>
      <c r="J134" s="2"/>
      <c r="K134" s="2" t="s">
        <v>193</v>
      </c>
      <c r="L134" s="2"/>
      <c r="M134" s="3" t="n">
        <v>66</v>
      </c>
      <c r="N134" s="4" t="s">
        <v>590</v>
      </c>
      <c r="O134" s="2" t="n">
        <v>16</v>
      </c>
    </row>
    <row r="135" customFormat="false" ht="35.05" hidden="false" customHeight="false" outlineLevel="0" collapsed="false">
      <c r="A135" s="2" t="s">
        <v>591</v>
      </c>
      <c r="B135" s="2" t="s">
        <v>16</v>
      </c>
      <c r="C135" s="2" t="s">
        <v>592</v>
      </c>
      <c r="D135" s="2" t="s">
        <v>593</v>
      </c>
      <c r="E135" s="2" t="s">
        <v>594</v>
      </c>
      <c r="F135" s="2"/>
      <c r="G135" s="2" t="n">
        <v>217</v>
      </c>
      <c r="H135" s="2"/>
      <c r="I135" s="2"/>
      <c r="J135" s="2"/>
      <c r="K135" s="2" t="s">
        <v>20</v>
      </c>
      <c r="L135" s="2"/>
      <c r="M135" s="3" t="n">
        <v>420</v>
      </c>
      <c r="N135" s="4" t="s">
        <v>595</v>
      </c>
      <c r="O135" s="2" t="n">
        <v>17</v>
      </c>
    </row>
    <row r="136" customFormat="false" ht="15" hidden="false" customHeight="false" outlineLevel="0" collapsed="false">
      <c r="A136" s="2" t="s">
        <v>596</v>
      </c>
      <c r="B136" s="2" t="s">
        <v>16</v>
      </c>
      <c r="C136" s="2" t="s">
        <v>592</v>
      </c>
      <c r="D136" s="2" t="s">
        <v>372</v>
      </c>
      <c r="E136" s="2" t="s">
        <v>597</v>
      </c>
      <c r="F136" s="2"/>
      <c r="G136" s="2" t="n">
        <v>1500</v>
      </c>
      <c r="H136" s="2" t="s">
        <v>598</v>
      </c>
      <c r="I136" s="2"/>
      <c r="J136" s="2"/>
      <c r="K136" s="2" t="s">
        <v>193</v>
      </c>
      <c r="L136" s="2"/>
      <c r="M136" s="3" t="n">
        <v>23.5</v>
      </c>
      <c r="N136" s="4" t="s">
        <v>599</v>
      </c>
      <c r="O136" s="2" t="n">
        <v>17</v>
      </c>
    </row>
    <row r="137" customFormat="false" ht="23.85" hidden="false" customHeight="false" outlineLevel="0" collapsed="false">
      <c r="A137" s="2" t="s">
        <v>600</v>
      </c>
      <c r="B137" s="2" t="s">
        <v>16</v>
      </c>
      <c r="C137" s="2" t="s">
        <v>592</v>
      </c>
      <c r="D137" s="2" t="s">
        <v>601</v>
      </c>
      <c r="E137" s="2" t="s">
        <v>602</v>
      </c>
      <c r="F137" s="2"/>
      <c r="G137" s="2"/>
      <c r="H137" s="2"/>
      <c r="I137" s="2"/>
      <c r="J137" s="2"/>
      <c r="K137" s="2" t="s">
        <v>20</v>
      </c>
      <c r="L137" s="2"/>
      <c r="M137" s="3" t="n">
        <v>21.5</v>
      </c>
      <c r="N137" s="4" t="s">
        <v>603</v>
      </c>
      <c r="O137" s="2" t="n">
        <v>17</v>
      </c>
    </row>
    <row r="138" customFormat="false" ht="23.85" hidden="false" customHeight="false" outlineLevel="0" collapsed="false">
      <c r="A138" s="2" t="s">
        <v>604</v>
      </c>
      <c r="B138" s="2" t="s">
        <v>16</v>
      </c>
      <c r="C138" s="2" t="s">
        <v>592</v>
      </c>
      <c r="D138" s="2" t="s">
        <v>601</v>
      </c>
      <c r="E138" s="2" t="s">
        <v>605</v>
      </c>
      <c r="F138" s="2"/>
      <c r="G138" s="2"/>
      <c r="H138" s="2"/>
      <c r="I138" s="2"/>
      <c r="J138" s="2"/>
      <c r="K138" s="2" t="s">
        <v>20</v>
      </c>
      <c r="L138" s="2"/>
      <c r="M138" s="3" t="n">
        <v>21.5</v>
      </c>
      <c r="N138" s="4" t="s">
        <v>606</v>
      </c>
      <c r="O138" s="2" t="n">
        <v>17</v>
      </c>
    </row>
    <row r="139" customFormat="false" ht="23.85" hidden="false" customHeight="false" outlineLevel="0" collapsed="false">
      <c r="A139" s="2" t="s">
        <v>607</v>
      </c>
      <c r="B139" s="2" t="s">
        <v>16</v>
      </c>
      <c r="C139" s="2" t="s">
        <v>592</v>
      </c>
      <c r="D139" s="2" t="s">
        <v>608</v>
      </c>
      <c r="E139" s="2" t="s">
        <v>609</v>
      </c>
      <c r="F139" s="2"/>
      <c r="G139" s="2"/>
      <c r="H139" s="2"/>
      <c r="I139" s="2"/>
      <c r="J139" s="2"/>
      <c r="K139" s="2" t="s">
        <v>20</v>
      </c>
      <c r="L139" s="2"/>
      <c r="M139" s="3" t="n">
        <v>11</v>
      </c>
      <c r="N139" s="4" t="s">
        <v>610</v>
      </c>
      <c r="O139" s="2" t="n">
        <v>17</v>
      </c>
    </row>
    <row r="140" customFormat="false" ht="23.85" hidden="false" customHeight="false" outlineLevel="0" collapsed="false">
      <c r="A140" s="5" t="s">
        <v>611</v>
      </c>
      <c r="B140" s="5" t="s">
        <v>410</v>
      </c>
      <c r="C140" s="5" t="s">
        <v>612</v>
      </c>
      <c r="D140" s="5" t="s">
        <v>613</v>
      </c>
      <c r="E140" s="5" t="s">
        <v>614</v>
      </c>
      <c r="F140" s="5"/>
      <c r="G140" s="5"/>
      <c r="H140" s="5"/>
      <c r="I140" s="5"/>
      <c r="J140" s="5"/>
      <c r="K140" s="5" t="s">
        <v>193</v>
      </c>
      <c r="L140" s="5" t="s">
        <v>234</v>
      </c>
      <c r="M140" s="6" t="n">
        <v>25</v>
      </c>
      <c r="N140" s="7" t="s">
        <v>615</v>
      </c>
      <c r="O140" s="5" t="n">
        <v>17</v>
      </c>
    </row>
    <row r="141" customFormat="false" ht="15" hidden="false" customHeight="false" outlineLevel="0" collapsed="false">
      <c r="A141" s="5" t="s">
        <v>616</v>
      </c>
      <c r="B141" s="5" t="s">
        <v>410</v>
      </c>
      <c r="C141" s="5" t="s">
        <v>612</v>
      </c>
      <c r="D141" s="5" t="s">
        <v>617</v>
      </c>
      <c r="E141" s="5" t="s">
        <v>618</v>
      </c>
      <c r="F141" s="5"/>
      <c r="G141" s="5"/>
      <c r="H141" s="5"/>
      <c r="I141" s="5"/>
      <c r="J141" s="5"/>
      <c r="K141" s="5" t="s">
        <v>193</v>
      </c>
      <c r="L141" s="5" t="s">
        <v>234</v>
      </c>
      <c r="M141" s="6" t="n">
        <v>26</v>
      </c>
      <c r="N141" s="7" t="s">
        <v>619</v>
      </c>
      <c r="O141" s="5" t="n">
        <v>17</v>
      </c>
    </row>
    <row r="142" customFormat="false" ht="15" hidden="false" customHeight="false" outlineLevel="0" collapsed="false">
      <c r="A142" s="2" t="s">
        <v>620</v>
      </c>
      <c r="B142" s="2" t="s">
        <v>16</v>
      </c>
      <c r="C142" s="2" t="s">
        <v>621</v>
      </c>
      <c r="D142" s="2" t="s">
        <v>622</v>
      </c>
      <c r="E142" s="2" t="s">
        <v>623</v>
      </c>
      <c r="F142" s="2"/>
      <c r="G142" s="2"/>
      <c r="H142" s="2"/>
      <c r="I142" s="2"/>
      <c r="J142" s="2"/>
      <c r="K142" s="2" t="s">
        <v>624</v>
      </c>
      <c r="L142" s="2"/>
      <c r="M142" s="3" t="n">
        <v>59</v>
      </c>
      <c r="N142" s="4" t="s">
        <v>625</v>
      </c>
      <c r="O142" s="2" t="n">
        <v>17</v>
      </c>
    </row>
    <row r="143" customFormat="false" ht="23.85" hidden="false" customHeight="false" outlineLevel="0" collapsed="false">
      <c r="A143" s="2" t="s">
        <v>626</v>
      </c>
      <c r="B143" s="2" t="s">
        <v>16</v>
      </c>
      <c r="C143" s="2" t="s">
        <v>127</v>
      </c>
      <c r="D143" s="2" t="s">
        <v>627</v>
      </c>
      <c r="E143" s="2" t="s">
        <v>628</v>
      </c>
      <c r="F143" s="2" t="s">
        <v>629</v>
      </c>
      <c r="G143" s="2" t="n">
        <v>248</v>
      </c>
      <c r="H143" s="2" t="s">
        <v>162</v>
      </c>
      <c r="I143" s="2"/>
      <c r="J143" s="2"/>
      <c r="K143" s="2" t="s">
        <v>188</v>
      </c>
      <c r="L143" s="2"/>
      <c r="M143" s="3" t="n">
        <v>13.5</v>
      </c>
      <c r="N143" s="4" t="s">
        <v>630</v>
      </c>
      <c r="O143" s="2" t="n">
        <v>18</v>
      </c>
    </row>
    <row r="144" customFormat="false" ht="15" hidden="false" customHeight="false" outlineLevel="0" collapsed="false">
      <c r="A144" s="2" t="s">
        <v>631</v>
      </c>
      <c r="B144" s="2" t="s">
        <v>16</v>
      </c>
      <c r="C144" s="2" t="s">
        <v>127</v>
      </c>
      <c r="D144" s="2" t="s">
        <v>627</v>
      </c>
      <c r="E144" s="2" t="s">
        <v>632</v>
      </c>
      <c r="F144" s="2" t="s">
        <v>633</v>
      </c>
      <c r="G144" s="2" t="n">
        <v>186</v>
      </c>
      <c r="H144" s="2" t="s">
        <v>173</v>
      </c>
      <c r="I144" s="2"/>
      <c r="J144" s="2"/>
      <c r="K144" s="2" t="s">
        <v>188</v>
      </c>
      <c r="L144" s="2"/>
      <c r="M144" s="3" t="n">
        <v>13</v>
      </c>
      <c r="N144" s="4" t="s">
        <v>634</v>
      </c>
      <c r="O144" s="2" t="n">
        <v>18</v>
      </c>
    </row>
    <row r="145" customFormat="false" ht="15" hidden="false" customHeight="false" outlineLevel="0" collapsed="false">
      <c r="A145" s="2" t="s">
        <v>635</v>
      </c>
      <c r="B145" s="2" t="s">
        <v>16</v>
      </c>
      <c r="C145" s="2" t="s">
        <v>127</v>
      </c>
      <c r="D145" s="2" t="s">
        <v>627</v>
      </c>
      <c r="E145" s="2" t="s">
        <v>636</v>
      </c>
      <c r="F145" s="2" t="s">
        <v>637</v>
      </c>
      <c r="G145" s="2" t="n">
        <v>124</v>
      </c>
      <c r="H145" s="2" t="s">
        <v>178</v>
      </c>
      <c r="I145" s="2"/>
      <c r="J145" s="2"/>
      <c r="K145" s="2" t="s">
        <v>188</v>
      </c>
      <c r="L145" s="2"/>
      <c r="M145" s="3" t="n">
        <v>12</v>
      </c>
      <c r="N145" s="4" t="s">
        <v>638</v>
      </c>
      <c r="O145" s="2" t="n">
        <v>18</v>
      </c>
    </row>
    <row r="146" customFormat="false" ht="15" hidden="false" customHeight="false" outlineLevel="0" collapsed="false">
      <c r="A146" s="2" t="s">
        <v>639</v>
      </c>
      <c r="B146" s="2" t="s">
        <v>16</v>
      </c>
      <c r="C146" s="2" t="s">
        <v>127</v>
      </c>
      <c r="D146" s="2" t="s">
        <v>627</v>
      </c>
      <c r="E146" s="2" t="s">
        <v>640</v>
      </c>
      <c r="F146" s="2" t="s">
        <v>641</v>
      </c>
      <c r="G146" s="2" t="n">
        <v>62</v>
      </c>
      <c r="H146" s="2" t="s">
        <v>286</v>
      </c>
      <c r="I146" s="2"/>
      <c r="J146" s="2"/>
      <c r="K146" s="2" t="s">
        <v>188</v>
      </c>
      <c r="L146" s="2"/>
      <c r="M146" s="3" t="n">
        <v>11</v>
      </c>
      <c r="N146" s="4" t="s">
        <v>642</v>
      </c>
      <c r="O146" s="2" t="n">
        <v>18</v>
      </c>
    </row>
    <row r="147" customFormat="false" ht="15" hidden="false" customHeight="false" outlineLevel="0" collapsed="false">
      <c r="A147" s="2" t="s">
        <v>643</v>
      </c>
      <c r="B147" s="2" t="s">
        <v>16</v>
      </c>
      <c r="C147" s="2" t="s">
        <v>127</v>
      </c>
      <c r="D147" s="2" t="s">
        <v>299</v>
      </c>
      <c r="E147" s="2" t="s">
        <v>644</v>
      </c>
      <c r="F147" s="2" t="s">
        <v>645</v>
      </c>
      <c r="G147" s="2" t="n">
        <v>62</v>
      </c>
      <c r="H147" s="2" t="s">
        <v>286</v>
      </c>
      <c r="I147" s="2"/>
      <c r="J147" s="2"/>
      <c r="K147" s="2" t="s">
        <v>20</v>
      </c>
      <c r="L147" s="2"/>
      <c r="M147" s="3" t="n">
        <v>17</v>
      </c>
      <c r="N147" s="4" t="s">
        <v>646</v>
      </c>
      <c r="O147" s="2" t="n">
        <v>18</v>
      </c>
    </row>
    <row r="148" customFormat="false" ht="15" hidden="false" customHeight="false" outlineLevel="0" collapsed="false">
      <c r="A148" s="2" t="s">
        <v>647</v>
      </c>
      <c r="B148" s="2" t="s">
        <v>16</v>
      </c>
      <c r="C148" s="2" t="s">
        <v>127</v>
      </c>
      <c r="D148" s="2" t="s">
        <v>648</v>
      </c>
      <c r="E148" s="2" t="s">
        <v>649</v>
      </c>
      <c r="F148" s="2" t="s">
        <v>650</v>
      </c>
      <c r="G148" s="2" t="n">
        <v>310</v>
      </c>
      <c r="H148" s="2" t="s">
        <v>651</v>
      </c>
      <c r="I148" s="2"/>
      <c r="J148" s="2"/>
      <c r="K148" s="2" t="s">
        <v>193</v>
      </c>
      <c r="L148" s="2"/>
      <c r="M148" s="3" t="n">
        <v>18</v>
      </c>
      <c r="N148" s="4" t="s">
        <v>652</v>
      </c>
      <c r="O148" s="2" t="n">
        <v>18</v>
      </c>
    </row>
    <row r="149" customFormat="false" ht="15" hidden="false" customHeight="false" outlineLevel="0" collapsed="false">
      <c r="A149" s="2" t="s">
        <v>653</v>
      </c>
      <c r="B149" s="2" t="s">
        <v>16</v>
      </c>
      <c r="C149" s="2" t="s">
        <v>127</v>
      </c>
      <c r="D149" s="2" t="s">
        <v>654</v>
      </c>
      <c r="E149" s="2" t="s">
        <v>655</v>
      </c>
      <c r="F149" s="2" t="s">
        <v>656</v>
      </c>
      <c r="G149" s="2" t="n">
        <v>310</v>
      </c>
      <c r="H149" s="2" t="s">
        <v>651</v>
      </c>
      <c r="I149" s="2"/>
      <c r="J149" s="2"/>
      <c r="K149" s="2" t="s">
        <v>193</v>
      </c>
      <c r="L149" s="2"/>
      <c r="M149" s="3" t="n">
        <v>18</v>
      </c>
      <c r="N149" s="4" t="s">
        <v>657</v>
      </c>
      <c r="O149" s="2" t="n">
        <v>18</v>
      </c>
    </row>
    <row r="150" customFormat="false" ht="23.85" hidden="false" customHeight="false" outlineLevel="0" collapsed="false">
      <c r="A150" s="2" t="s">
        <v>658</v>
      </c>
      <c r="B150" s="2" t="s">
        <v>16</v>
      </c>
      <c r="C150" s="2" t="s">
        <v>127</v>
      </c>
      <c r="D150" s="2" t="s">
        <v>659</v>
      </c>
      <c r="E150" s="2" t="s">
        <v>660</v>
      </c>
      <c r="F150" s="2" t="s">
        <v>168</v>
      </c>
      <c r="G150" s="2" t="n">
        <v>248</v>
      </c>
      <c r="H150" s="2" t="s">
        <v>162</v>
      </c>
      <c r="I150" s="2"/>
      <c r="J150" s="2"/>
      <c r="K150" s="2" t="s">
        <v>163</v>
      </c>
      <c r="L150" s="2"/>
      <c r="M150" s="3" t="n">
        <v>10.5</v>
      </c>
      <c r="N150" s="4" t="s">
        <v>661</v>
      </c>
      <c r="O150" s="2" t="n">
        <v>18</v>
      </c>
    </row>
    <row r="151" customFormat="false" ht="23.85" hidden="false" customHeight="false" outlineLevel="0" collapsed="false">
      <c r="A151" s="2" t="s">
        <v>662</v>
      </c>
      <c r="B151" s="2" t="s">
        <v>16</v>
      </c>
      <c r="C151" s="2" t="s">
        <v>127</v>
      </c>
      <c r="D151" s="2" t="s">
        <v>663</v>
      </c>
      <c r="E151" s="2" t="s">
        <v>664</v>
      </c>
      <c r="F151" s="2" t="s">
        <v>665</v>
      </c>
      <c r="G151" s="2"/>
      <c r="H151" s="2"/>
      <c r="I151" s="2" t="n">
        <v>480</v>
      </c>
      <c r="J151" s="2" t="n">
        <v>45</v>
      </c>
      <c r="K151" s="2" t="s">
        <v>188</v>
      </c>
      <c r="L151" s="2"/>
      <c r="M151" s="3" t="n">
        <v>19</v>
      </c>
      <c r="N151" s="4" t="s">
        <v>666</v>
      </c>
      <c r="O151" s="2" t="n">
        <v>19</v>
      </c>
    </row>
    <row r="152" customFormat="false" ht="15" hidden="false" customHeight="false" outlineLevel="0" collapsed="false">
      <c r="A152" s="2" t="s">
        <v>667</v>
      </c>
      <c r="B152" s="2" t="s">
        <v>16</v>
      </c>
      <c r="C152" s="2" t="s">
        <v>127</v>
      </c>
      <c r="D152" s="2" t="s">
        <v>663</v>
      </c>
      <c r="E152" s="2" t="s">
        <v>668</v>
      </c>
      <c r="F152" s="2" t="s">
        <v>669</v>
      </c>
      <c r="G152" s="2"/>
      <c r="H152" s="2"/>
      <c r="I152" s="2" t="n">
        <v>414</v>
      </c>
      <c r="J152" s="2" t="n">
        <v>45</v>
      </c>
      <c r="K152" s="2" t="s">
        <v>188</v>
      </c>
      <c r="L152" s="2"/>
      <c r="M152" s="3" t="n">
        <v>15</v>
      </c>
      <c r="N152" s="4" t="s">
        <v>670</v>
      </c>
      <c r="O152" s="2" t="n">
        <v>19</v>
      </c>
    </row>
    <row r="153" customFormat="false" ht="15" hidden="false" customHeight="false" outlineLevel="0" collapsed="false">
      <c r="A153" s="2" t="s">
        <v>671</v>
      </c>
      <c r="B153" s="2" t="s">
        <v>16</v>
      </c>
      <c r="C153" s="2" t="s">
        <v>127</v>
      </c>
      <c r="D153" s="2" t="s">
        <v>663</v>
      </c>
      <c r="E153" s="2" t="s">
        <v>672</v>
      </c>
      <c r="F153" s="2" t="s">
        <v>673</v>
      </c>
      <c r="G153" s="2"/>
      <c r="H153" s="2"/>
      <c r="I153" s="2" t="n">
        <v>315</v>
      </c>
      <c r="J153" s="2" t="n">
        <v>45</v>
      </c>
      <c r="K153" s="2" t="s">
        <v>188</v>
      </c>
      <c r="L153" s="2"/>
      <c r="M153" s="3" t="n">
        <v>15</v>
      </c>
      <c r="N153" s="4" t="s">
        <v>674</v>
      </c>
      <c r="O153" s="2" t="n">
        <v>19</v>
      </c>
    </row>
    <row r="154" customFormat="false" ht="23.85" hidden="false" customHeight="false" outlineLevel="0" collapsed="false">
      <c r="A154" s="2" t="s">
        <v>675</v>
      </c>
      <c r="B154" s="2" t="s">
        <v>16</v>
      </c>
      <c r="C154" s="2" t="s">
        <v>127</v>
      </c>
      <c r="D154" s="2" t="s">
        <v>676</v>
      </c>
      <c r="E154" s="2" t="s">
        <v>677</v>
      </c>
      <c r="F154" s="2" t="s">
        <v>678</v>
      </c>
      <c r="G154" s="2"/>
      <c r="H154" s="2"/>
      <c r="I154" s="2" t="n">
        <v>480</v>
      </c>
      <c r="J154" s="2" t="n">
        <v>22.5</v>
      </c>
      <c r="K154" s="2" t="s">
        <v>679</v>
      </c>
      <c r="L154" s="2"/>
      <c r="M154" s="3" t="n">
        <v>16</v>
      </c>
      <c r="N154" s="4" t="s">
        <v>680</v>
      </c>
      <c r="O154" s="2" t="n">
        <v>19</v>
      </c>
    </row>
    <row r="155" customFormat="false" ht="23.85" hidden="false" customHeight="false" outlineLevel="0" collapsed="false">
      <c r="A155" s="2" t="s">
        <v>681</v>
      </c>
      <c r="B155" s="2" t="s">
        <v>16</v>
      </c>
      <c r="C155" s="2" t="s">
        <v>127</v>
      </c>
      <c r="D155" s="2" t="s">
        <v>676</v>
      </c>
      <c r="E155" s="2" t="s">
        <v>682</v>
      </c>
      <c r="F155" s="2" t="s">
        <v>683</v>
      </c>
      <c r="G155" s="2"/>
      <c r="H155" s="2"/>
      <c r="I155" s="2" t="n">
        <v>414</v>
      </c>
      <c r="J155" s="2" t="n">
        <v>22.5</v>
      </c>
      <c r="K155" s="2" t="s">
        <v>679</v>
      </c>
      <c r="L155" s="2"/>
      <c r="M155" s="3" t="n">
        <v>13.5</v>
      </c>
      <c r="N155" s="4" t="s">
        <v>684</v>
      </c>
      <c r="O155" s="2" t="n">
        <v>19</v>
      </c>
    </row>
    <row r="156" customFormat="false" ht="15" hidden="false" customHeight="false" outlineLevel="0" collapsed="false">
      <c r="A156" s="2" t="s">
        <v>685</v>
      </c>
      <c r="B156" s="2" t="s">
        <v>16</v>
      </c>
      <c r="C156" s="2" t="s">
        <v>127</v>
      </c>
      <c r="D156" s="2" t="s">
        <v>676</v>
      </c>
      <c r="E156" s="2" t="s">
        <v>686</v>
      </c>
      <c r="F156" s="2" t="s">
        <v>687</v>
      </c>
      <c r="G156" s="2"/>
      <c r="H156" s="2"/>
      <c r="I156" s="2" t="n">
        <v>315</v>
      </c>
      <c r="J156" s="2" t="n">
        <v>22.5</v>
      </c>
      <c r="K156" s="2" t="s">
        <v>679</v>
      </c>
      <c r="L156" s="2"/>
      <c r="M156" s="3" t="n">
        <v>13.5</v>
      </c>
      <c r="N156" s="4" t="s">
        <v>688</v>
      </c>
      <c r="O156" s="2" t="n">
        <v>19</v>
      </c>
    </row>
    <row r="157" customFormat="false" ht="15" hidden="false" customHeight="false" outlineLevel="0" collapsed="false">
      <c r="A157" s="2" t="s">
        <v>689</v>
      </c>
      <c r="B157" s="2" t="s">
        <v>16</v>
      </c>
      <c r="C157" s="2" t="s">
        <v>153</v>
      </c>
      <c r="D157" s="2" t="s">
        <v>627</v>
      </c>
      <c r="E157" s="2" t="s">
        <v>690</v>
      </c>
      <c r="F157" s="2" t="s">
        <v>691</v>
      </c>
      <c r="G157" s="2" t="n">
        <v>248</v>
      </c>
      <c r="H157" s="2" t="s">
        <v>162</v>
      </c>
      <c r="I157" s="2"/>
      <c r="J157" s="2"/>
      <c r="K157" s="2" t="s">
        <v>188</v>
      </c>
      <c r="L157" s="2"/>
      <c r="M157" s="3" t="n">
        <v>14</v>
      </c>
      <c r="N157" s="4" t="s">
        <v>692</v>
      </c>
      <c r="O157" s="2" t="n">
        <v>20</v>
      </c>
    </row>
    <row r="158" customFormat="false" ht="15" hidden="false" customHeight="false" outlineLevel="0" collapsed="false">
      <c r="A158" s="2" t="s">
        <v>693</v>
      </c>
      <c r="B158" s="2" t="s">
        <v>16</v>
      </c>
      <c r="C158" s="2" t="s">
        <v>153</v>
      </c>
      <c r="D158" s="2" t="s">
        <v>627</v>
      </c>
      <c r="E158" s="2" t="s">
        <v>694</v>
      </c>
      <c r="F158" s="2" t="s">
        <v>695</v>
      </c>
      <c r="G158" s="2" t="n">
        <v>186</v>
      </c>
      <c r="H158" s="2" t="s">
        <v>173</v>
      </c>
      <c r="I158" s="2"/>
      <c r="J158" s="2"/>
      <c r="K158" s="2" t="s">
        <v>188</v>
      </c>
      <c r="L158" s="2"/>
      <c r="M158" s="3" t="n">
        <v>13</v>
      </c>
      <c r="N158" s="4" t="s">
        <v>696</v>
      </c>
      <c r="O158" s="2" t="n">
        <v>20</v>
      </c>
    </row>
    <row r="159" customFormat="false" ht="15" hidden="false" customHeight="false" outlineLevel="0" collapsed="false">
      <c r="A159" s="2" t="s">
        <v>697</v>
      </c>
      <c r="B159" s="2" t="s">
        <v>16</v>
      </c>
      <c r="C159" s="2" t="s">
        <v>153</v>
      </c>
      <c r="D159" s="2" t="s">
        <v>627</v>
      </c>
      <c r="E159" s="2" t="s">
        <v>698</v>
      </c>
      <c r="F159" s="2" t="s">
        <v>699</v>
      </c>
      <c r="G159" s="2" t="n">
        <v>124</v>
      </c>
      <c r="H159" s="2" t="s">
        <v>178</v>
      </c>
      <c r="I159" s="2"/>
      <c r="J159" s="2"/>
      <c r="K159" s="2" t="s">
        <v>188</v>
      </c>
      <c r="L159" s="2"/>
      <c r="M159" s="3" t="n">
        <v>12</v>
      </c>
      <c r="N159" s="4" t="s">
        <v>700</v>
      </c>
      <c r="O159" s="2" t="n">
        <v>20</v>
      </c>
    </row>
    <row r="160" customFormat="false" ht="15" hidden="false" customHeight="false" outlineLevel="0" collapsed="false">
      <c r="A160" s="2" t="s">
        <v>701</v>
      </c>
      <c r="B160" s="2" t="s">
        <v>16</v>
      </c>
      <c r="C160" s="2" t="s">
        <v>153</v>
      </c>
      <c r="D160" s="2" t="s">
        <v>627</v>
      </c>
      <c r="E160" s="2" t="s">
        <v>702</v>
      </c>
      <c r="F160" s="2" t="s">
        <v>703</v>
      </c>
      <c r="G160" s="2" t="n">
        <v>62</v>
      </c>
      <c r="H160" s="2" t="s">
        <v>286</v>
      </c>
      <c r="I160" s="2"/>
      <c r="J160" s="2"/>
      <c r="K160" s="2" t="s">
        <v>188</v>
      </c>
      <c r="L160" s="2"/>
      <c r="M160" s="3" t="n">
        <v>11</v>
      </c>
      <c r="N160" s="4" t="s">
        <v>704</v>
      </c>
      <c r="O160" s="2" t="n">
        <v>20</v>
      </c>
    </row>
    <row r="161" customFormat="false" ht="15" hidden="false" customHeight="false" outlineLevel="0" collapsed="false">
      <c r="A161" s="2" t="s">
        <v>705</v>
      </c>
      <c r="B161" s="2" t="s">
        <v>16</v>
      </c>
      <c r="C161" s="2" t="s">
        <v>153</v>
      </c>
      <c r="D161" s="2" t="s">
        <v>299</v>
      </c>
      <c r="E161" s="2" t="s">
        <v>706</v>
      </c>
      <c r="F161" s="2" t="s">
        <v>707</v>
      </c>
      <c r="G161" s="2" t="n">
        <v>62</v>
      </c>
      <c r="H161" s="2" t="s">
        <v>286</v>
      </c>
      <c r="I161" s="2"/>
      <c r="J161" s="2"/>
      <c r="K161" s="2" t="s">
        <v>20</v>
      </c>
      <c r="L161" s="2"/>
      <c r="M161" s="3" t="n">
        <v>17</v>
      </c>
      <c r="N161" s="4" t="s">
        <v>708</v>
      </c>
      <c r="O161" s="2" t="n">
        <v>20</v>
      </c>
    </row>
    <row r="162" customFormat="false" ht="15" hidden="false" customHeight="false" outlineLevel="0" collapsed="false">
      <c r="A162" s="2" t="s">
        <v>709</v>
      </c>
      <c r="B162" s="2" t="s">
        <v>16</v>
      </c>
      <c r="C162" s="2" t="s">
        <v>153</v>
      </c>
      <c r="D162" s="2" t="s">
        <v>663</v>
      </c>
      <c r="E162" s="2" t="s">
        <v>710</v>
      </c>
      <c r="F162" s="2" t="s">
        <v>711</v>
      </c>
      <c r="G162" s="2"/>
      <c r="H162" s="2"/>
      <c r="I162" s="2" t="n">
        <v>414</v>
      </c>
      <c r="J162" s="2" t="n">
        <v>45</v>
      </c>
      <c r="K162" s="2" t="s">
        <v>188</v>
      </c>
      <c r="L162" s="2"/>
      <c r="M162" s="3" t="n">
        <v>15</v>
      </c>
      <c r="N162" s="4" t="s">
        <v>712</v>
      </c>
      <c r="O162" s="2" t="n">
        <v>20</v>
      </c>
    </row>
    <row r="163" customFormat="false" ht="15" hidden="false" customHeight="false" outlineLevel="0" collapsed="false">
      <c r="A163" s="2" t="s">
        <v>713</v>
      </c>
      <c r="B163" s="2" t="s">
        <v>16</v>
      </c>
      <c r="C163" s="2" t="s">
        <v>153</v>
      </c>
      <c r="D163" s="2" t="s">
        <v>676</v>
      </c>
      <c r="E163" s="2" t="s">
        <v>714</v>
      </c>
      <c r="F163" s="2" t="s">
        <v>715</v>
      </c>
      <c r="G163" s="2"/>
      <c r="H163" s="2"/>
      <c r="I163" s="2" t="n">
        <v>414</v>
      </c>
      <c r="J163" s="2" t="n">
        <v>22.5</v>
      </c>
      <c r="K163" s="2" t="s">
        <v>679</v>
      </c>
      <c r="L163" s="2"/>
      <c r="M163" s="3" t="n">
        <v>13.5</v>
      </c>
      <c r="N163" s="4" t="s">
        <v>716</v>
      </c>
      <c r="O163" s="2" t="n">
        <v>20</v>
      </c>
    </row>
    <row r="164" customFormat="false" ht="15" hidden="false" customHeight="false" outlineLevel="0" collapsed="false">
      <c r="A164" s="2" t="s">
        <v>717</v>
      </c>
      <c r="B164" s="2" t="s">
        <v>16</v>
      </c>
      <c r="C164" s="2" t="s">
        <v>718</v>
      </c>
      <c r="D164" s="2" t="s">
        <v>627</v>
      </c>
      <c r="E164" s="2" t="s">
        <v>719</v>
      </c>
      <c r="F164" s="2" t="s">
        <v>720</v>
      </c>
      <c r="G164" s="2" t="n">
        <v>248</v>
      </c>
      <c r="H164" s="2" t="s">
        <v>162</v>
      </c>
      <c r="I164" s="2"/>
      <c r="J164" s="2"/>
      <c r="K164" s="2" t="s">
        <v>721</v>
      </c>
      <c r="L164" s="2"/>
      <c r="M164" s="3" t="n">
        <v>22</v>
      </c>
      <c r="N164" s="4" t="s">
        <v>722</v>
      </c>
      <c r="O164" s="2" t="n">
        <v>21</v>
      </c>
    </row>
    <row r="165" customFormat="false" ht="15" hidden="false" customHeight="false" outlineLevel="0" collapsed="false">
      <c r="A165" s="2" t="s">
        <v>723</v>
      </c>
      <c r="B165" s="2" t="s">
        <v>16</v>
      </c>
      <c r="C165" s="2" t="s">
        <v>718</v>
      </c>
      <c r="D165" s="2" t="s">
        <v>627</v>
      </c>
      <c r="E165" s="2" t="s">
        <v>724</v>
      </c>
      <c r="F165" s="2" t="s">
        <v>725</v>
      </c>
      <c r="G165" s="2" t="n">
        <v>186</v>
      </c>
      <c r="H165" s="2" t="s">
        <v>173</v>
      </c>
      <c r="I165" s="2"/>
      <c r="J165" s="2"/>
      <c r="K165" s="2" t="s">
        <v>188</v>
      </c>
      <c r="L165" s="2"/>
      <c r="M165" s="3" t="n">
        <v>21</v>
      </c>
      <c r="N165" s="4" t="s">
        <v>726</v>
      </c>
      <c r="O165" s="2" t="n">
        <v>21</v>
      </c>
    </row>
    <row r="166" customFormat="false" ht="15" hidden="false" customHeight="false" outlineLevel="0" collapsed="false">
      <c r="A166" s="2" t="s">
        <v>727</v>
      </c>
      <c r="B166" s="2" t="s">
        <v>16</v>
      </c>
      <c r="C166" s="2" t="s">
        <v>718</v>
      </c>
      <c r="D166" s="2" t="s">
        <v>627</v>
      </c>
      <c r="E166" s="2" t="s">
        <v>728</v>
      </c>
      <c r="F166" s="2" t="s">
        <v>729</v>
      </c>
      <c r="G166" s="2" t="n">
        <v>124</v>
      </c>
      <c r="H166" s="2" t="s">
        <v>178</v>
      </c>
      <c r="I166" s="2"/>
      <c r="J166" s="2"/>
      <c r="K166" s="2" t="s">
        <v>188</v>
      </c>
      <c r="L166" s="2"/>
      <c r="M166" s="3" t="n">
        <v>20</v>
      </c>
      <c r="N166" s="4" t="s">
        <v>730</v>
      </c>
      <c r="O166" s="2" t="n">
        <v>21</v>
      </c>
    </row>
    <row r="167" customFormat="false" ht="15" hidden="false" customHeight="false" outlineLevel="0" collapsed="false">
      <c r="A167" s="2" t="s">
        <v>731</v>
      </c>
      <c r="B167" s="2" t="s">
        <v>16</v>
      </c>
      <c r="C167" s="2" t="s">
        <v>718</v>
      </c>
      <c r="D167" s="2" t="s">
        <v>663</v>
      </c>
      <c r="E167" s="2" t="s">
        <v>732</v>
      </c>
      <c r="F167" s="2" t="s">
        <v>733</v>
      </c>
      <c r="G167" s="2"/>
      <c r="H167" s="2"/>
      <c r="I167" s="2" t="n">
        <v>414</v>
      </c>
      <c r="J167" s="2" t="n">
        <v>45</v>
      </c>
      <c r="K167" s="2" t="s">
        <v>188</v>
      </c>
      <c r="L167" s="2"/>
      <c r="M167" s="3" t="n">
        <v>24</v>
      </c>
      <c r="N167" s="4" t="s">
        <v>734</v>
      </c>
      <c r="O167" s="2" t="n">
        <v>21</v>
      </c>
    </row>
    <row r="168" customFormat="false" ht="15" hidden="false" customHeight="false" outlineLevel="0" collapsed="false">
      <c r="A168" s="2" t="s">
        <v>735</v>
      </c>
      <c r="B168" s="2" t="s">
        <v>16</v>
      </c>
      <c r="C168" s="2" t="s">
        <v>718</v>
      </c>
      <c r="D168" s="2" t="s">
        <v>676</v>
      </c>
      <c r="E168" s="2" t="s">
        <v>736</v>
      </c>
      <c r="F168" s="2" t="s">
        <v>737</v>
      </c>
      <c r="G168" s="2"/>
      <c r="H168" s="2"/>
      <c r="I168" s="2" t="n">
        <v>414</v>
      </c>
      <c r="J168" s="2" t="n">
        <v>22.5</v>
      </c>
      <c r="K168" s="2" t="s">
        <v>679</v>
      </c>
      <c r="L168" s="2"/>
      <c r="M168" s="3" t="n">
        <v>16</v>
      </c>
      <c r="N168" s="4" t="s">
        <v>738</v>
      </c>
      <c r="O168" s="2" t="n">
        <v>21</v>
      </c>
    </row>
    <row r="169" customFormat="false" ht="23.85" hidden="false" customHeight="false" outlineLevel="0" collapsed="false">
      <c r="A169" s="2" t="s">
        <v>739</v>
      </c>
      <c r="B169" s="2" t="s">
        <v>16</v>
      </c>
      <c r="C169" s="2" t="s">
        <v>210</v>
      </c>
      <c r="D169" s="2" t="s">
        <v>740</v>
      </c>
      <c r="E169" s="2" t="s">
        <v>741</v>
      </c>
      <c r="F169" s="2" t="s">
        <v>742</v>
      </c>
      <c r="G169" s="2" t="n">
        <v>248</v>
      </c>
      <c r="H169" s="2" t="s">
        <v>162</v>
      </c>
      <c r="I169" s="2"/>
      <c r="J169" s="2"/>
      <c r="K169" s="2" t="s">
        <v>193</v>
      </c>
      <c r="L169" s="2" t="s">
        <v>743</v>
      </c>
      <c r="M169" s="3" t="n">
        <v>22</v>
      </c>
      <c r="N169" s="4" t="s">
        <v>744</v>
      </c>
      <c r="O169" s="2" t="n">
        <v>21</v>
      </c>
    </row>
    <row r="170" customFormat="false" ht="15" hidden="false" customHeight="false" outlineLevel="0" collapsed="false">
      <c r="A170" s="2" t="s">
        <v>745</v>
      </c>
      <c r="B170" s="2" t="s">
        <v>16</v>
      </c>
      <c r="C170" s="2" t="s">
        <v>210</v>
      </c>
      <c r="D170" s="2" t="s">
        <v>740</v>
      </c>
      <c r="E170" s="2" t="s">
        <v>746</v>
      </c>
      <c r="F170" s="2" t="s">
        <v>742</v>
      </c>
      <c r="G170" s="2" t="n">
        <v>248</v>
      </c>
      <c r="H170" s="2" t="s">
        <v>162</v>
      </c>
      <c r="I170" s="2"/>
      <c r="J170" s="2"/>
      <c r="K170" s="2" t="s">
        <v>193</v>
      </c>
      <c r="L170" s="2" t="s">
        <v>226</v>
      </c>
      <c r="M170" s="3" t="n">
        <v>22</v>
      </c>
      <c r="N170" s="4" t="s">
        <v>747</v>
      </c>
      <c r="O170" s="2" t="n">
        <v>21</v>
      </c>
    </row>
    <row r="171" customFormat="false" ht="15" hidden="false" customHeight="false" outlineLevel="0" collapsed="false">
      <c r="A171" s="2" t="s">
        <v>748</v>
      </c>
      <c r="B171" s="2" t="s">
        <v>16</v>
      </c>
      <c r="C171" s="2" t="s">
        <v>210</v>
      </c>
      <c r="D171" s="2" t="s">
        <v>740</v>
      </c>
      <c r="E171" s="2" t="s">
        <v>749</v>
      </c>
      <c r="F171" s="2" t="s">
        <v>742</v>
      </c>
      <c r="G171" s="2" t="n">
        <v>248</v>
      </c>
      <c r="H171" s="2" t="s">
        <v>162</v>
      </c>
      <c r="I171" s="2"/>
      <c r="J171" s="2"/>
      <c r="K171" s="2" t="s">
        <v>193</v>
      </c>
      <c r="L171" s="2" t="s">
        <v>234</v>
      </c>
      <c r="M171" s="3" t="n">
        <v>22</v>
      </c>
      <c r="N171" s="4" t="s">
        <v>750</v>
      </c>
      <c r="O171" s="2" t="n">
        <v>21</v>
      </c>
    </row>
    <row r="172" customFormat="false" ht="15" hidden="false" customHeight="false" outlineLevel="0" collapsed="false">
      <c r="A172" s="2" t="s">
        <v>751</v>
      </c>
      <c r="B172" s="2" t="s">
        <v>16</v>
      </c>
      <c r="C172" s="2" t="s">
        <v>210</v>
      </c>
      <c r="D172" s="2" t="s">
        <v>740</v>
      </c>
      <c r="E172" s="2" t="s">
        <v>752</v>
      </c>
      <c r="F172" s="2" t="s">
        <v>742</v>
      </c>
      <c r="G172" s="2" t="n">
        <v>248</v>
      </c>
      <c r="H172" s="2" t="s">
        <v>162</v>
      </c>
      <c r="I172" s="2"/>
      <c r="J172" s="2"/>
      <c r="K172" s="2" t="s">
        <v>193</v>
      </c>
      <c r="L172" s="2" t="s">
        <v>753</v>
      </c>
      <c r="M172" s="3" t="n">
        <v>22</v>
      </c>
      <c r="N172" s="4" t="s">
        <v>754</v>
      </c>
      <c r="O172" s="2" t="n">
        <v>21</v>
      </c>
    </row>
    <row r="173" customFormat="false" ht="15" hidden="false" customHeight="false" outlineLevel="0" collapsed="false">
      <c r="A173" s="2" t="s">
        <v>755</v>
      </c>
      <c r="B173" s="2" t="s">
        <v>16</v>
      </c>
      <c r="C173" s="2" t="s">
        <v>210</v>
      </c>
      <c r="D173" s="2" t="s">
        <v>756</v>
      </c>
      <c r="E173" s="2" t="s">
        <v>757</v>
      </c>
      <c r="F173" s="2"/>
      <c r="G173" s="2" t="n">
        <v>186</v>
      </c>
      <c r="H173" s="2" t="s">
        <v>173</v>
      </c>
      <c r="I173" s="2"/>
      <c r="J173" s="2"/>
      <c r="K173" s="2" t="s">
        <v>193</v>
      </c>
      <c r="L173" s="2" t="s">
        <v>743</v>
      </c>
      <c r="M173" s="3" t="n">
        <v>26.5</v>
      </c>
      <c r="N173" s="4" t="s">
        <v>758</v>
      </c>
      <c r="O173" s="2" t="n">
        <v>21</v>
      </c>
    </row>
    <row r="174" customFormat="false" ht="15" hidden="false" customHeight="false" outlineLevel="0" collapsed="false">
      <c r="A174" s="2" t="s">
        <v>759</v>
      </c>
      <c r="B174" s="2" t="s">
        <v>16</v>
      </c>
      <c r="C174" s="2" t="s">
        <v>210</v>
      </c>
      <c r="D174" s="2" t="s">
        <v>756</v>
      </c>
      <c r="E174" s="2" t="s">
        <v>760</v>
      </c>
      <c r="F174" s="2"/>
      <c r="G174" s="2" t="n">
        <v>186</v>
      </c>
      <c r="H174" s="2" t="s">
        <v>173</v>
      </c>
      <c r="I174" s="2"/>
      <c r="J174" s="2"/>
      <c r="K174" s="2" t="s">
        <v>193</v>
      </c>
      <c r="L174" s="2" t="s">
        <v>753</v>
      </c>
      <c r="M174" s="3" t="n">
        <v>26.5</v>
      </c>
      <c r="N174" s="4" t="s">
        <v>761</v>
      </c>
      <c r="O174" s="2" t="n">
        <v>21</v>
      </c>
    </row>
    <row r="175" customFormat="false" ht="15" hidden="false" customHeight="false" outlineLevel="0" collapsed="false">
      <c r="A175" s="2" t="s">
        <v>762</v>
      </c>
      <c r="B175" s="2" t="s">
        <v>16</v>
      </c>
      <c r="C175" s="2" t="s">
        <v>210</v>
      </c>
      <c r="D175" s="2" t="s">
        <v>756</v>
      </c>
      <c r="E175" s="2" t="s">
        <v>763</v>
      </c>
      <c r="F175" s="2"/>
      <c r="G175" s="2" t="n">
        <v>186</v>
      </c>
      <c r="H175" s="2" t="s">
        <v>173</v>
      </c>
      <c r="I175" s="2"/>
      <c r="J175" s="2"/>
      <c r="K175" s="2" t="s">
        <v>193</v>
      </c>
      <c r="L175" s="2" t="s">
        <v>226</v>
      </c>
      <c r="M175" s="3" t="n">
        <v>26.5</v>
      </c>
      <c r="N175" s="4" t="s">
        <v>764</v>
      </c>
      <c r="O175" s="2" t="n">
        <v>21</v>
      </c>
    </row>
    <row r="176" customFormat="false" ht="15" hidden="false" customHeight="false" outlineLevel="0" collapsed="false">
      <c r="A176" s="2" t="s">
        <v>765</v>
      </c>
      <c r="B176" s="2" t="s">
        <v>16</v>
      </c>
      <c r="C176" s="2" t="s">
        <v>210</v>
      </c>
      <c r="D176" s="2" t="s">
        <v>756</v>
      </c>
      <c r="E176" s="2" t="s">
        <v>766</v>
      </c>
      <c r="F176" s="2"/>
      <c r="G176" s="2" t="n">
        <v>186</v>
      </c>
      <c r="H176" s="2" t="s">
        <v>173</v>
      </c>
      <c r="I176" s="2"/>
      <c r="J176" s="2"/>
      <c r="K176" s="2" t="s">
        <v>193</v>
      </c>
      <c r="L176" s="2" t="s">
        <v>234</v>
      </c>
      <c r="M176" s="3" t="n">
        <v>26.5</v>
      </c>
      <c r="N176" s="4" t="s">
        <v>767</v>
      </c>
      <c r="O176" s="2" t="n">
        <v>21</v>
      </c>
    </row>
    <row r="177" customFormat="false" ht="23.85" hidden="false" customHeight="false" outlineLevel="0" collapsed="false">
      <c r="A177" s="2" t="s">
        <v>768</v>
      </c>
      <c r="B177" s="2" t="s">
        <v>16</v>
      </c>
      <c r="C177" s="2" t="s">
        <v>376</v>
      </c>
      <c r="D177" s="2" t="s">
        <v>127</v>
      </c>
      <c r="E177" s="2" t="s">
        <v>769</v>
      </c>
      <c r="F177" s="2"/>
      <c r="G177" s="2" t="n">
        <v>50</v>
      </c>
      <c r="H177" s="2" t="s">
        <v>347</v>
      </c>
      <c r="I177" s="2"/>
      <c r="J177" s="2"/>
      <c r="K177" s="2" t="s">
        <v>193</v>
      </c>
      <c r="L177" s="2"/>
      <c r="M177" s="3" t="n">
        <v>19</v>
      </c>
      <c r="N177" s="4" t="s">
        <v>770</v>
      </c>
      <c r="O177" s="2" t="n">
        <v>22</v>
      </c>
    </row>
    <row r="178" customFormat="false" ht="23.85" hidden="false" customHeight="false" outlineLevel="0" collapsed="false">
      <c r="A178" s="2" t="s">
        <v>771</v>
      </c>
      <c r="B178" s="2" t="s">
        <v>16</v>
      </c>
      <c r="C178" s="2" t="s">
        <v>376</v>
      </c>
      <c r="D178" s="2" t="s">
        <v>132</v>
      </c>
      <c r="E178" s="2" t="s">
        <v>772</v>
      </c>
      <c r="F178" s="2"/>
      <c r="G178" s="2"/>
      <c r="H178" s="2"/>
      <c r="I178" s="2"/>
      <c r="J178" s="2"/>
      <c r="K178" s="2" t="s">
        <v>193</v>
      </c>
      <c r="L178" s="2"/>
      <c r="M178" s="3" t="n">
        <v>19</v>
      </c>
      <c r="N178" s="4" t="s">
        <v>773</v>
      </c>
      <c r="O178" s="2" t="n">
        <v>22</v>
      </c>
    </row>
    <row r="179" customFormat="false" ht="23.85" hidden="false" customHeight="false" outlineLevel="0" collapsed="false">
      <c r="A179" s="2" t="s">
        <v>774</v>
      </c>
      <c r="B179" s="2" t="s">
        <v>16</v>
      </c>
      <c r="C179" s="2" t="s">
        <v>376</v>
      </c>
      <c r="D179" s="2" t="s">
        <v>775</v>
      </c>
      <c r="E179" s="2" t="s">
        <v>776</v>
      </c>
      <c r="F179" s="2"/>
      <c r="G179" s="2"/>
      <c r="H179" s="2"/>
      <c r="I179" s="2"/>
      <c r="J179" s="2"/>
      <c r="K179" s="2" t="s">
        <v>20</v>
      </c>
      <c r="L179" s="2"/>
      <c r="M179" s="3" t="n">
        <v>50</v>
      </c>
      <c r="N179" s="4" t="s">
        <v>777</v>
      </c>
      <c r="O179" s="2" t="n">
        <v>22</v>
      </c>
    </row>
    <row r="180" customFormat="false" ht="15" hidden="false" customHeight="false" outlineLevel="0" collapsed="false">
      <c r="A180" s="2" t="s">
        <v>778</v>
      </c>
      <c r="B180" s="2" t="s">
        <v>16</v>
      </c>
      <c r="C180" s="2" t="s">
        <v>376</v>
      </c>
      <c r="D180" s="2" t="s">
        <v>779</v>
      </c>
      <c r="E180" s="2" t="s">
        <v>780</v>
      </c>
      <c r="F180" s="2"/>
      <c r="G180" s="2"/>
      <c r="H180" s="2"/>
      <c r="I180" s="2"/>
      <c r="J180" s="2"/>
      <c r="K180" s="2" t="s">
        <v>20</v>
      </c>
      <c r="L180" s="2"/>
      <c r="M180" s="3" t="n">
        <v>30</v>
      </c>
      <c r="N180" s="4" t="s">
        <v>781</v>
      </c>
      <c r="O180" s="2" t="n">
        <v>22</v>
      </c>
    </row>
    <row r="181" customFormat="false" ht="15" hidden="false" customHeight="false" outlineLevel="0" collapsed="false">
      <c r="A181" s="2" t="s">
        <v>782</v>
      </c>
      <c r="B181" s="2" t="s">
        <v>16</v>
      </c>
      <c r="C181" s="2" t="s">
        <v>783</v>
      </c>
      <c r="D181" s="2" t="s">
        <v>784</v>
      </c>
      <c r="E181" s="2" t="s">
        <v>785</v>
      </c>
      <c r="F181" s="2"/>
      <c r="G181" s="2" t="n">
        <v>808</v>
      </c>
      <c r="H181" s="2" t="s">
        <v>786</v>
      </c>
      <c r="I181" s="2"/>
      <c r="J181" s="2"/>
      <c r="K181" s="2" t="s">
        <v>193</v>
      </c>
      <c r="L181" s="2"/>
      <c r="M181" s="3" t="n">
        <v>6</v>
      </c>
      <c r="N181" s="4" t="s">
        <v>787</v>
      </c>
      <c r="O181" s="2" t="n">
        <v>22</v>
      </c>
    </row>
    <row r="182" customFormat="false" ht="15" hidden="false" customHeight="false" outlineLevel="0" collapsed="false">
      <c r="A182" s="2" t="s">
        <v>788</v>
      </c>
      <c r="B182" s="2" t="s">
        <v>16</v>
      </c>
      <c r="C182" s="2" t="s">
        <v>783</v>
      </c>
      <c r="D182" s="2" t="s">
        <v>789</v>
      </c>
      <c r="E182" s="2" t="s">
        <v>790</v>
      </c>
      <c r="F182" s="2"/>
      <c r="G182" s="2" t="n">
        <v>808</v>
      </c>
      <c r="H182" s="2" t="s">
        <v>786</v>
      </c>
      <c r="I182" s="2"/>
      <c r="J182" s="2"/>
      <c r="K182" s="2" t="s">
        <v>193</v>
      </c>
      <c r="L182" s="2"/>
      <c r="M182" s="3" t="n">
        <v>7</v>
      </c>
      <c r="N182" s="4" t="s">
        <v>791</v>
      </c>
      <c r="O182" s="2" t="n">
        <v>22</v>
      </c>
    </row>
    <row r="183" customFormat="false" ht="23.85" hidden="false" customHeight="false" outlineLevel="0" collapsed="false">
      <c r="A183" s="2" t="s">
        <v>792</v>
      </c>
      <c r="B183" s="2" t="s">
        <v>16</v>
      </c>
      <c r="C183" s="2" t="s">
        <v>266</v>
      </c>
      <c r="D183" s="2" t="s">
        <v>289</v>
      </c>
      <c r="E183" s="2" t="s">
        <v>793</v>
      </c>
      <c r="F183" s="2"/>
      <c r="G183" s="2" t="n">
        <v>124</v>
      </c>
      <c r="H183" s="2" t="s">
        <v>178</v>
      </c>
      <c r="I183" s="2"/>
      <c r="J183" s="2"/>
      <c r="K183" s="2" t="s">
        <v>193</v>
      </c>
      <c r="L183" s="2"/>
      <c r="M183" s="2"/>
      <c r="N183" s="4" t="s">
        <v>794</v>
      </c>
      <c r="O183" s="2" t="n">
        <v>22</v>
      </c>
    </row>
    <row r="184" customFormat="false" ht="15" hidden="false" customHeight="false" outlineLevel="0" collapsed="false">
      <c r="A184" s="2" t="s">
        <v>795</v>
      </c>
      <c r="B184" s="2" t="s">
        <v>16</v>
      </c>
      <c r="C184" s="2" t="s">
        <v>404</v>
      </c>
      <c r="D184" s="2" t="s">
        <v>796</v>
      </c>
      <c r="E184" s="2" t="s">
        <v>797</v>
      </c>
      <c r="F184" s="2"/>
      <c r="G184" s="2"/>
      <c r="H184" s="2"/>
      <c r="I184" s="2"/>
      <c r="J184" s="2"/>
      <c r="K184" s="2" t="s">
        <v>188</v>
      </c>
      <c r="L184" s="2"/>
      <c r="M184" s="3" t="n">
        <v>5</v>
      </c>
      <c r="N184" s="4" t="s">
        <v>798</v>
      </c>
      <c r="O184" s="2" t="n">
        <v>22</v>
      </c>
    </row>
    <row r="185" customFormat="false" ht="15" hidden="false" customHeight="false" outlineLevel="0" collapsed="false">
      <c r="A185" s="5" t="s">
        <v>799</v>
      </c>
      <c r="B185" s="5" t="s">
        <v>410</v>
      </c>
      <c r="C185" s="5" t="s">
        <v>404</v>
      </c>
      <c r="D185" s="5" t="s">
        <v>800</v>
      </c>
      <c r="E185" s="5" t="s">
        <v>801</v>
      </c>
      <c r="F185" s="5"/>
      <c r="G185" s="5"/>
      <c r="H185" s="5"/>
      <c r="I185" s="5"/>
      <c r="J185" s="5"/>
      <c r="K185" s="5" t="s">
        <v>193</v>
      </c>
      <c r="L185" s="5"/>
      <c r="M185" s="6" t="n">
        <v>5</v>
      </c>
      <c r="N185" s="7" t="s">
        <v>802</v>
      </c>
      <c r="O185" s="5" t="n">
        <v>22</v>
      </c>
    </row>
    <row r="186" customFormat="false" ht="15" hidden="false" customHeight="false" outlineLevel="0" collapsed="false">
      <c r="A186" s="5" t="s">
        <v>803</v>
      </c>
      <c r="B186" s="5" t="s">
        <v>410</v>
      </c>
      <c r="C186" s="5" t="s">
        <v>372</v>
      </c>
      <c r="D186" s="5" t="s">
        <v>804</v>
      </c>
      <c r="E186" s="5" t="s">
        <v>805</v>
      </c>
      <c r="F186" s="5"/>
      <c r="G186" s="5"/>
      <c r="H186" s="5"/>
      <c r="I186" s="5"/>
      <c r="J186" s="5"/>
      <c r="K186" s="5" t="s">
        <v>193</v>
      </c>
      <c r="L186" s="5"/>
      <c r="M186" s="6" t="n">
        <v>4</v>
      </c>
      <c r="N186" s="7" t="s">
        <v>806</v>
      </c>
      <c r="O186" s="5" t="n">
        <v>22</v>
      </c>
    </row>
    <row r="187" customFormat="false" ht="15" hidden="false" customHeight="false" outlineLevel="0" collapsed="false">
      <c r="A187" s="5" t="s">
        <v>807</v>
      </c>
      <c r="B187" s="5" t="s">
        <v>410</v>
      </c>
      <c r="C187" s="5" t="s">
        <v>796</v>
      </c>
      <c r="D187" s="5" t="s">
        <v>808</v>
      </c>
      <c r="E187" s="5" t="s">
        <v>809</v>
      </c>
      <c r="F187" s="5"/>
      <c r="G187" s="5" t="n">
        <v>900</v>
      </c>
      <c r="H187" s="5" t="s">
        <v>810</v>
      </c>
      <c r="I187" s="5"/>
      <c r="J187" s="5"/>
      <c r="K187" s="5" t="s">
        <v>193</v>
      </c>
      <c r="L187" s="5"/>
      <c r="M187" s="6" t="n">
        <v>6</v>
      </c>
      <c r="N187" s="7" t="s">
        <v>811</v>
      </c>
      <c r="O187" s="5" t="n">
        <v>22</v>
      </c>
    </row>
    <row r="188" customFormat="false" ht="15" hidden="false" customHeight="false" outlineLevel="0" collapsed="false">
      <c r="A188" s="5" t="s">
        <v>812</v>
      </c>
      <c r="B188" s="5" t="s">
        <v>410</v>
      </c>
      <c r="C188" s="5" t="s">
        <v>813</v>
      </c>
      <c r="D188" s="5" t="s">
        <v>814</v>
      </c>
      <c r="E188" s="5" t="s">
        <v>815</v>
      </c>
      <c r="F188" s="5"/>
      <c r="G188" s="5" t="n">
        <v>13</v>
      </c>
      <c r="H188" s="5" t="s">
        <v>816</v>
      </c>
      <c r="I188" s="5"/>
      <c r="J188" s="5"/>
      <c r="K188" s="5" t="s">
        <v>817</v>
      </c>
      <c r="L188" s="5"/>
      <c r="M188" s="6" t="n">
        <v>3.5</v>
      </c>
      <c r="N188" s="7" t="s">
        <v>818</v>
      </c>
      <c r="O188" s="5" t="n">
        <v>22</v>
      </c>
    </row>
    <row r="189" customFormat="false" ht="15" hidden="false" customHeight="false" outlineLevel="0" collapsed="false">
      <c r="A189" s="5" t="s">
        <v>819</v>
      </c>
      <c r="B189" s="5" t="s">
        <v>410</v>
      </c>
      <c r="C189" s="5" t="s">
        <v>404</v>
      </c>
      <c r="D189" s="5" t="s">
        <v>820</v>
      </c>
      <c r="E189" s="5" t="s">
        <v>821</v>
      </c>
      <c r="F189" s="5"/>
      <c r="G189" s="5"/>
      <c r="H189" s="5"/>
      <c r="I189" s="5"/>
      <c r="J189" s="5"/>
      <c r="K189" s="5" t="s">
        <v>822</v>
      </c>
      <c r="L189" s="5"/>
      <c r="M189" s="6" t="n">
        <v>2</v>
      </c>
      <c r="N189" s="7" t="s">
        <v>823</v>
      </c>
      <c r="O189" s="5" t="n">
        <v>22</v>
      </c>
    </row>
    <row r="190" customFormat="false" ht="15" hidden="false" customHeight="false" outlineLevel="0" collapsed="false">
      <c r="A190" s="5" t="s">
        <v>824</v>
      </c>
      <c r="B190" s="5" t="s">
        <v>410</v>
      </c>
      <c r="C190" s="5" t="s">
        <v>404</v>
      </c>
      <c r="D190" s="5" t="s">
        <v>825</v>
      </c>
      <c r="E190" s="5" t="s">
        <v>826</v>
      </c>
      <c r="F190" s="5"/>
      <c r="G190" s="5"/>
      <c r="H190" s="5"/>
      <c r="I190" s="5"/>
      <c r="J190" s="5"/>
      <c r="K190" s="5" t="s">
        <v>379</v>
      </c>
      <c r="L190" s="5"/>
      <c r="M190" s="6" t="n">
        <v>2.5</v>
      </c>
      <c r="N190" s="7" t="s">
        <v>827</v>
      </c>
      <c r="O190" s="5" t="n">
        <v>22</v>
      </c>
    </row>
    <row r="191" customFormat="false" ht="23.85" hidden="false" customHeight="false" outlineLevel="0" collapsed="false">
      <c r="A191" s="2" t="s">
        <v>828</v>
      </c>
      <c r="B191" s="2" t="s">
        <v>16</v>
      </c>
      <c r="C191" s="2" t="s">
        <v>829</v>
      </c>
      <c r="D191" s="2" t="s">
        <v>830</v>
      </c>
      <c r="E191" s="2" t="s">
        <v>831</v>
      </c>
      <c r="F191" s="2" t="s">
        <v>832</v>
      </c>
      <c r="G191" s="2"/>
      <c r="H191" s="2"/>
      <c r="I191" s="2"/>
      <c r="J191" s="2"/>
      <c r="K191" s="2" t="s">
        <v>20</v>
      </c>
      <c r="L191" s="2"/>
      <c r="M191" s="3" t="n">
        <v>42</v>
      </c>
      <c r="N191" s="4" t="s">
        <v>833</v>
      </c>
      <c r="O191" s="2" t="n">
        <v>23</v>
      </c>
    </row>
    <row r="192" customFormat="false" ht="23.85" hidden="false" customHeight="false" outlineLevel="0" collapsed="false">
      <c r="A192" s="2" t="s">
        <v>834</v>
      </c>
      <c r="B192" s="2" t="s">
        <v>16</v>
      </c>
      <c r="C192" s="2" t="s">
        <v>829</v>
      </c>
      <c r="D192" s="2" t="s">
        <v>835</v>
      </c>
      <c r="E192" s="2" t="s">
        <v>836</v>
      </c>
      <c r="F192" s="2" t="s">
        <v>837</v>
      </c>
      <c r="G192" s="2"/>
      <c r="H192" s="2"/>
      <c r="I192" s="2"/>
      <c r="J192" s="2"/>
      <c r="K192" s="2" t="s">
        <v>20</v>
      </c>
      <c r="L192" s="2"/>
      <c r="M192" s="3" t="n">
        <v>110</v>
      </c>
      <c r="N192" s="4" t="s">
        <v>838</v>
      </c>
      <c r="O192" s="2" t="n">
        <v>23</v>
      </c>
    </row>
    <row r="193" customFormat="false" ht="23.85" hidden="false" customHeight="false" outlineLevel="0" collapsed="false">
      <c r="A193" s="2" t="s">
        <v>839</v>
      </c>
      <c r="B193" s="2" t="s">
        <v>16</v>
      </c>
      <c r="C193" s="2" t="s">
        <v>829</v>
      </c>
      <c r="D193" s="2" t="s">
        <v>840</v>
      </c>
      <c r="E193" s="2" t="s">
        <v>841</v>
      </c>
      <c r="F193" s="2" t="s">
        <v>842</v>
      </c>
      <c r="G193" s="2"/>
      <c r="H193" s="2"/>
      <c r="I193" s="2"/>
      <c r="J193" s="2"/>
      <c r="K193" s="2" t="s">
        <v>20</v>
      </c>
      <c r="L193" s="2"/>
      <c r="M193" s="3" t="n">
        <v>45</v>
      </c>
      <c r="N193" s="4" t="s">
        <v>843</v>
      </c>
      <c r="O193" s="2" t="n">
        <v>23</v>
      </c>
    </row>
    <row r="194" customFormat="false" ht="15" hidden="false" customHeight="false" outlineLevel="0" collapsed="false">
      <c r="A194" s="2" t="s">
        <v>844</v>
      </c>
      <c r="B194" s="2" t="s">
        <v>16</v>
      </c>
      <c r="C194" s="2" t="s">
        <v>543</v>
      </c>
      <c r="D194" s="2" t="s">
        <v>845</v>
      </c>
      <c r="E194" s="2" t="s">
        <v>846</v>
      </c>
      <c r="F194" s="2"/>
      <c r="G194" s="2"/>
      <c r="H194" s="2"/>
      <c r="I194" s="2" t="n">
        <v>150</v>
      </c>
      <c r="J194" s="2" t="n">
        <v>45</v>
      </c>
      <c r="K194" s="2" t="s">
        <v>193</v>
      </c>
      <c r="L194" s="2"/>
      <c r="M194" s="3" t="n">
        <v>45</v>
      </c>
      <c r="N194" s="4" t="s">
        <v>847</v>
      </c>
      <c r="O194" s="2" t="n">
        <v>23</v>
      </c>
    </row>
    <row r="195" customFormat="false" ht="15" hidden="false" customHeight="false" outlineLevel="0" collapsed="false">
      <c r="A195" s="2" t="s">
        <v>848</v>
      </c>
      <c r="B195" s="2" t="s">
        <v>16</v>
      </c>
      <c r="C195" s="2" t="s">
        <v>543</v>
      </c>
      <c r="D195" s="2" t="s">
        <v>845</v>
      </c>
      <c r="E195" s="2" t="s">
        <v>849</v>
      </c>
      <c r="F195" s="2"/>
      <c r="G195" s="2"/>
      <c r="H195" s="2"/>
      <c r="I195" s="2" t="n">
        <v>150</v>
      </c>
      <c r="J195" s="2" t="n">
        <v>45</v>
      </c>
      <c r="K195" s="2" t="s">
        <v>193</v>
      </c>
      <c r="L195" s="2"/>
      <c r="M195" s="3" t="n">
        <v>45</v>
      </c>
      <c r="N195" s="4" t="s">
        <v>850</v>
      </c>
      <c r="O195" s="2" t="n">
        <v>23</v>
      </c>
    </row>
    <row r="196" customFormat="false" ht="35.05" hidden="false" customHeight="false" outlineLevel="0" collapsed="false">
      <c r="A196" s="2" t="s">
        <v>851</v>
      </c>
      <c r="B196" s="2" t="s">
        <v>16</v>
      </c>
      <c r="C196" s="2" t="s">
        <v>852</v>
      </c>
      <c r="D196" s="2" t="s">
        <v>853</v>
      </c>
      <c r="E196" s="2" t="s">
        <v>854</v>
      </c>
      <c r="F196" s="2" t="s">
        <v>855</v>
      </c>
      <c r="G196" s="2"/>
      <c r="H196" s="2"/>
      <c r="I196" s="2"/>
      <c r="J196" s="2"/>
      <c r="K196" s="2" t="s">
        <v>20</v>
      </c>
      <c r="L196" s="2"/>
      <c r="M196" s="3" t="n">
        <v>240</v>
      </c>
      <c r="N196" s="4" t="s">
        <v>856</v>
      </c>
      <c r="O196" s="2" t="n">
        <v>24</v>
      </c>
    </row>
    <row r="197" customFormat="false" ht="15" hidden="false" customHeight="false" outlineLevel="0" collapsed="false">
      <c r="A197" s="2" t="s">
        <v>857</v>
      </c>
      <c r="B197" s="2" t="s">
        <v>16</v>
      </c>
      <c r="C197" s="2" t="s">
        <v>852</v>
      </c>
      <c r="D197" s="2" t="s">
        <v>98</v>
      </c>
      <c r="E197" s="2" t="s">
        <v>858</v>
      </c>
      <c r="F197" s="2" t="s">
        <v>859</v>
      </c>
      <c r="G197" s="2"/>
      <c r="H197" s="2"/>
      <c r="I197" s="2"/>
      <c r="J197" s="2"/>
      <c r="K197" s="2" t="s">
        <v>20</v>
      </c>
      <c r="L197" s="2"/>
      <c r="M197" s="3" t="n">
        <v>310</v>
      </c>
      <c r="N197" s="4" t="s">
        <v>860</v>
      </c>
      <c r="O197" s="2" t="n">
        <v>24</v>
      </c>
    </row>
    <row r="198" customFormat="false" ht="23.85" hidden="false" customHeight="false" outlineLevel="0" collapsed="false">
      <c r="A198" s="2" t="s">
        <v>861</v>
      </c>
      <c r="B198" s="2" t="s">
        <v>16</v>
      </c>
      <c r="C198" s="2" t="s">
        <v>852</v>
      </c>
      <c r="D198" s="2" t="s">
        <v>98</v>
      </c>
      <c r="E198" s="2" t="s">
        <v>862</v>
      </c>
      <c r="F198" s="2" t="s">
        <v>863</v>
      </c>
      <c r="G198" s="2"/>
      <c r="H198" s="2"/>
      <c r="I198" s="2"/>
      <c r="J198" s="2"/>
      <c r="K198" s="2" t="s">
        <v>20</v>
      </c>
      <c r="L198" s="2"/>
      <c r="M198" s="3" t="n">
        <v>135</v>
      </c>
      <c r="N198" s="4" t="s">
        <v>864</v>
      </c>
      <c r="O198" s="2" t="n">
        <v>24</v>
      </c>
    </row>
    <row r="199" customFormat="false" ht="15" hidden="false" customHeight="false" outlineLevel="0" collapsed="false">
      <c r="A199" s="2" t="s">
        <v>865</v>
      </c>
      <c r="B199" s="2" t="s">
        <v>16</v>
      </c>
      <c r="C199" s="2" t="s">
        <v>852</v>
      </c>
      <c r="D199" s="2" t="s">
        <v>866</v>
      </c>
      <c r="E199" s="2" t="s">
        <v>867</v>
      </c>
      <c r="F199" s="2" t="s">
        <v>868</v>
      </c>
      <c r="G199" s="2"/>
      <c r="H199" s="2"/>
      <c r="I199" s="2"/>
      <c r="J199" s="2"/>
      <c r="K199" s="2" t="s">
        <v>20</v>
      </c>
      <c r="L199" s="2"/>
      <c r="M199" s="3" t="n">
        <v>145</v>
      </c>
      <c r="N199" s="4" t="s">
        <v>869</v>
      </c>
      <c r="O199" s="2" t="n">
        <v>24</v>
      </c>
    </row>
    <row r="200" customFormat="false" ht="15" hidden="false" customHeight="false" outlineLevel="0" collapsed="false">
      <c r="A200" s="2" t="s">
        <v>870</v>
      </c>
      <c r="B200" s="2" t="s">
        <v>16</v>
      </c>
      <c r="C200" s="2" t="s">
        <v>852</v>
      </c>
      <c r="D200" s="2" t="s">
        <v>98</v>
      </c>
      <c r="E200" s="2" t="s">
        <v>871</v>
      </c>
      <c r="F200" s="2" t="s">
        <v>872</v>
      </c>
      <c r="G200" s="2"/>
      <c r="H200" s="2"/>
      <c r="I200" s="2"/>
      <c r="J200" s="2"/>
      <c r="K200" s="2" t="s">
        <v>20</v>
      </c>
      <c r="L200" s="2"/>
      <c r="M200" s="3" t="n">
        <v>85</v>
      </c>
      <c r="N200" s="4" t="s">
        <v>873</v>
      </c>
      <c r="O200" s="2" t="n">
        <v>25</v>
      </c>
    </row>
    <row r="201" customFormat="false" ht="15" hidden="false" customHeight="false" outlineLevel="0" collapsed="false">
      <c r="A201" s="2" t="s">
        <v>874</v>
      </c>
      <c r="B201" s="2" t="s">
        <v>16</v>
      </c>
      <c r="C201" s="2" t="s">
        <v>852</v>
      </c>
      <c r="D201" s="2" t="s">
        <v>875</v>
      </c>
      <c r="E201" s="2" t="s">
        <v>876</v>
      </c>
      <c r="F201" s="2"/>
      <c r="G201" s="2"/>
      <c r="H201" s="2"/>
      <c r="I201" s="2"/>
      <c r="J201" s="2"/>
      <c r="K201" s="2" t="s">
        <v>20</v>
      </c>
      <c r="L201" s="2"/>
      <c r="M201" s="3" t="n">
        <v>50</v>
      </c>
      <c r="N201" s="4" t="s">
        <v>877</v>
      </c>
      <c r="O201" s="2" t="n">
        <v>25</v>
      </c>
    </row>
    <row r="202" customFormat="false" ht="15" hidden="false" customHeight="false" outlineLevel="0" collapsed="false">
      <c r="A202" s="2" t="s">
        <v>878</v>
      </c>
      <c r="B202" s="2" t="s">
        <v>16</v>
      </c>
      <c r="C202" s="2" t="s">
        <v>852</v>
      </c>
      <c r="D202" s="2" t="s">
        <v>879</v>
      </c>
      <c r="E202" s="2" t="s">
        <v>880</v>
      </c>
      <c r="F202" s="2"/>
      <c r="G202" s="2"/>
      <c r="H202" s="2"/>
      <c r="I202" s="2"/>
      <c r="J202" s="2"/>
      <c r="K202" s="2" t="s">
        <v>20</v>
      </c>
      <c r="L202" s="2"/>
      <c r="M202" s="3" t="n">
        <v>115</v>
      </c>
      <c r="N202" s="4" t="s">
        <v>881</v>
      </c>
      <c r="O202" s="2" t="n">
        <v>25</v>
      </c>
    </row>
    <row r="203" customFormat="false" ht="15" hidden="false" customHeight="false" outlineLevel="0" collapsed="false">
      <c r="A203" s="2" t="s">
        <v>882</v>
      </c>
      <c r="B203" s="2" t="s">
        <v>16</v>
      </c>
      <c r="C203" s="2" t="s">
        <v>852</v>
      </c>
      <c r="D203" s="2" t="s">
        <v>883</v>
      </c>
      <c r="E203" s="2" t="s">
        <v>884</v>
      </c>
      <c r="F203" s="2"/>
      <c r="G203" s="2" t="n">
        <v>186</v>
      </c>
      <c r="H203" s="2" t="s">
        <v>173</v>
      </c>
      <c r="I203" s="2"/>
      <c r="J203" s="2"/>
      <c r="K203" s="2" t="s">
        <v>193</v>
      </c>
      <c r="L203" s="2"/>
      <c r="M203" s="3" t="n">
        <v>27</v>
      </c>
      <c r="N203" s="4" t="s">
        <v>885</v>
      </c>
      <c r="O203" s="2" t="n">
        <v>25</v>
      </c>
    </row>
    <row r="204" customFormat="false" ht="15" hidden="false" customHeight="false" outlineLevel="0" collapsed="false">
      <c r="A204" s="2" t="s">
        <v>886</v>
      </c>
      <c r="B204" s="2" t="s">
        <v>16</v>
      </c>
      <c r="C204" s="2" t="s">
        <v>852</v>
      </c>
      <c r="D204" s="2" t="s">
        <v>883</v>
      </c>
      <c r="E204" s="2" t="s">
        <v>887</v>
      </c>
      <c r="F204" s="2"/>
      <c r="G204" s="2" t="n">
        <v>186</v>
      </c>
      <c r="H204" s="2" t="s">
        <v>173</v>
      </c>
      <c r="I204" s="2"/>
      <c r="J204" s="2"/>
      <c r="K204" s="2" t="s">
        <v>193</v>
      </c>
      <c r="L204" s="2"/>
      <c r="M204" s="3" t="n">
        <v>17</v>
      </c>
      <c r="N204" s="4" t="s">
        <v>888</v>
      </c>
      <c r="O204" s="2" t="n">
        <v>25</v>
      </c>
    </row>
    <row r="205" customFormat="false" ht="15" hidden="false" customHeight="false" outlineLevel="0" collapsed="false">
      <c r="A205" s="2" t="s">
        <v>889</v>
      </c>
      <c r="B205" s="2" t="s">
        <v>16</v>
      </c>
      <c r="C205" s="2" t="s">
        <v>852</v>
      </c>
      <c r="D205" s="2" t="s">
        <v>883</v>
      </c>
      <c r="E205" s="2" t="s">
        <v>890</v>
      </c>
      <c r="F205" s="2"/>
      <c r="G205" s="2" t="n">
        <v>124</v>
      </c>
      <c r="H205" s="2" t="s">
        <v>178</v>
      </c>
      <c r="I205" s="2"/>
      <c r="J205" s="2"/>
      <c r="K205" s="2" t="s">
        <v>193</v>
      </c>
      <c r="L205" s="2"/>
      <c r="M205" s="3" t="n">
        <v>24</v>
      </c>
      <c r="N205" s="4" t="s">
        <v>891</v>
      </c>
      <c r="O205" s="2" t="n">
        <v>25</v>
      </c>
    </row>
    <row r="206" customFormat="false" ht="15" hidden="false" customHeight="false" outlineLevel="0" collapsed="false">
      <c r="A206" s="2" t="s">
        <v>892</v>
      </c>
      <c r="B206" s="2" t="s">
        <v>16</v>
      </c>
      <c r="C206" s="2" t="s">
        <v>852</v>
      </c>
      <c r="D206" s="2" t="s">
        <v>883</v>
      </c>
      <c r="E206" s="2" t="s">
        <v>893</v>
      </c>
      <c r="F206" s="2"/>
      <c r="G206" s="2" t="n">
        <v>124</v>
      </c>
      <c r="H206" s="2" t="s">
        <v>178</v>
      </c>
      <c r="I206" s="2"/>
      <c r="J206" s="2"/>
      <c r="K206" s="2" t="s">
        <v>193</v>
      </c>
      <c r="L206" s="2"/>
      <c r="M206" s="3" t="n">
        <v>14</v>
      </c>
      <c r="N206" s="4" t="s">
        <v>894</v>
      </c>
      <c r="O206" s="2" t="n">
        <v>25</v>
      </c>
    </row>
    <row r="207" customFormat="false" ht="23.85" hidden="false" customHeight="false" outlineLevel="0" collapsed="false">
      <c r="A207" s="2" t="s">
        <v>895</v>
      </c>
      <c r="B207" s="2" t="s">
        <v>16</v>
      </c>
      <c r="C207" s="2" t="s">
        <v>852</v>
      </c>
      <c r="D207" s="2" t="s">
        <v>896</v>
      </c>
      <c r="E207" s="2" t="s">
        <v>897</v>
      </c>
      <c r="F207" s="2"/>
      <c r="G207" s="2" t="n">
        <v>124</v>
      </c>
      <c r="H207" s="2" t="s">
        <v>178</v>
      </c>
      <c r="I207" s="2"/>
      <c r="J207" s="2"/>
      <c r="K207" s="2" t="s">
        <v>193</v>
      </c>
      <c r="L207" s="2"/>
      <c r="M207" s="3" t="n">
        <v>23.5</v>
      </c>
      <c r="N207" s="4" t="s">
        <v>898</v>
      </c>
      <c r="O207" s="2" t="n">
        <v>25</v>
      </c>
    </row>
    <row r="208" customFormat="false" ht="15" hidden="false" customHeight="false" outlineLevel="0" collapsed="false">
      <c r="A208" s="2" t="s">
        <v>899</v>
      </c>
      <c r="B208" s="2" t="s">
        <v>16</v>
      </c>
      <c r="C208" s="2" t="s">
        <v>852</v>
      </c>
      <c r="D208" s="2" t="s">
        <v>883</v>
      </c>
      <c r="E208" s="2" t="s">
        <v>900</v>
      </c>
      <c r="F208" s="2"/>
      <c r="G208" s="2" t="n">
        <v>62</v>
      </c>
      <c r="H208" s="2" t="s">
        <v>295</v>
      </c>
      <c r="I208" s="2"/>
      <c r="J208" s="2"/>
      <c r="K208" s="2" t="s">
        <v>193</v>
      </c>
      <c r="L208" s="2"/>
      <c r="M208" s="3" t="n">
        <v>19</v>
      </c>
      <c r="N208" s="4" t="s">
        <v>901</v>
      </c>
      <c r="O208" s="2" t="n">
        <v>25</v>
      </c>
    </row>
    <row r="209" customFormat="false" ht="15" hidden="false" customHeight="false" outlineLevel="0" collapsed="false">
      <c r="A209" s="2" t="s">
        <v>902</v>
      </c>
      <c r="B209" s="2" t="s">
        <v>16</v>
      </c>
      <c r="C209" s="2" t="s">
        <v>852</v>
      </c>
      <c r="D209" s="2" t="s">
        <v>883</v>
      </c>
      <c r="E209" s="2" t="s">
        <v>903</v>
      </c>
      <c r="F209" s="2"/>
      <c r="G209" s="2" t="n">
        <v>62</v>
      </c>
      <c r="H209" s="2" t="s">
        <v>295</v>
      </c>
      <c r="I209" s="2"/>
      <c r="J209" s="2"/>
      <c r="K209" s="2" t="s">
        <v>193</v>
      </c>
      <c r="L209" s="2"/>
      <c r="M209" s="3" t="n">
        <v>10</v>
      </c>
      <c r="N209" s="4" t="s">
        <v>904</v>
      </c>
      <c r="O209" s="2" t="n">
        <v>25</v>
      </c>
    </row>
    <row r="210" customFormat="false" ht="15" hidden="false" customHeight="false" outlineLevel="0" collapsed="false">
      <c r="A210" s="2" t="s">
        <v>905</v>
      </c>
      <c r="B210" s="2" t="s">
        <v>16</v>
      </c>
      <c r="C210" s="2" t="s">
        <v>852</v>
      </c>
      <c r="D210" s="2" t="s">
        <v>906</v>
      </c>
      <c r="E210" s="2" t="s">
        <v>907</v>
      </c>
      <c r="F210" s="2"/>
      <c r="G210" s="2"/>
      <c r="H210" s="2"/>
      <c r="I210" s="2" t="n">
        <v>180</v>
      </c>
      <c r="J210" s="2" t="n">
        <v>45</v>
      </c>
      <c r="K210" s="2" t="s">
        <v>193</v>
      </c>
      <c r="L210" s="2"/>
      <c r="M210" s="3" t="n">
        <v>33</v>
      </c>
      <c r="N210" s="4" t="s">
        <v>908</v>
      </c>
      <c r="O210" s="2" t="n">
        <v>25</v>
      </c>
    </row>
    <row r="211" customFormat="false" ht="15" hidden="false" customHeight="false" outlineLevel="0" collapsed="false">
      <c r="A211" s="2" t="s">
        <v>909</v>
      </c>
      <c r="B211" s="2" t="s">
        <v>16</v>
      </c>
      <c r="C211" s="2" t="s">
        <v>852</v>
      </c>
      <c r="D211" s="2" t="s">
        <v>906</v>
      </c>
      <c r="E211" s="2" t="s">
        <v>910</v>
      </c>
      <c r="F211" s="2"/>
      <c r="G211" s="2"/>
      <c r="H211" s="2"/>
      <c r="I211" s="2" t="n">
        <v>180</v>
      </c>
      <c r="J211" s="2" t="n">
        <v>45</v>
      </c>
      <c r="K211" s="2" t="s">
        <v>193</v>
      </c>
      <c r="L211" s="2"/>
      <c r="M211" s="3" t="n">
        <v>22</v>
      </c>
      <c r="N211" s="4" t="s">
        <v>911</v>
      </c>
      <c r="O211" s="2" t="n">
        <v>25</v>
      </c>
    </row>
    <row r="212" customFormat="false" ht="15" hidden="false" customHeight="false" outlineLevel="0" collapsed="false">
      <c r="A212" s="2" t="s">
        <v>912</v>
      </c>
      <c r="B212" s="2" t="s">
        <v>16</v>
      </c>
      <c r="C212" s="2" t="s">
        <v>852</v>
      </c>
      <c r="D212" s="2" t="s">
        <v>906</v>
      </c>
      <c r="E212" s="2" t="s">
        <v>913</v>
      </c>
      <c r="F212" s="2"/>
      <c r="G212" s="2"/>
      <c r="H212" s="2"/>
      <c r="I212" s="2" t="n">
        <v>180</v>
      </c>
      <c r="J212" s="2" t="n">
        <v>45</v>
      </c>
      <c r="K212" s="2" t="s">
        <v>193</v>
      </c>
      <c r="L212" s="2"/>
      <c r="M212" s="3" t="n">
        <v>33</v>
      </c>
      <c r="N212" s="4" t="s">
        <v>914</v>
      </c>
      <c r="O212" s="2" t="n">
        <v>25</v>
      </c>
    </row>
    <row r="213" customFormat="false" ht="15" hidden="false" customHeight="false" outlineLevel="0" collapsed="false">
      <c r="A213" s="2" t="s">
        <v>915</v>
      </c>
      <c r="B213" s="2" t="s">
        <v>16</v>
      </c>
      <c r="C213" s="2" t="s">
        <v>852</v>
      </c>
      <c r="D213" s="2" t="s">
        <v>906</v>
      </c>
      <c r="E213" s="2" t="s">
        <v>916</v>
      </c>
      <c r="F213" s="2"/>
      <c r="G213" s="2"/>
      <c r="H213" s="2"/>
      <c r="I213" s="2" t="n">
        <v>180</v>
      </c>
      <c r="J213" s="2" t="n">
        <v>45</v>
      </c>
      <c r="K213" s="2" t="s">
        <v>193</v>
      </c>
      <c r="L213" s="2"/>
      <c r="M213" s="3" t="n">
        <v>22</v>
      </c>
      <c r="N213" s="4" t="s">
        <v>917</v>
      </c>
      <c r="O213" s="2" t="n">
        <v>25</v>
      </c>
    </row>
    <row r="214" customFormat="false" ht="15" hidden="false" customHeight="false" outlineLevel="0" collapsed="false">
      <c r="A214" s="2" t="s">
        <v>918</v>
      </c>
      <c r="B214" s="2" t="s">
        <v>16</v>
      </c>
      <c r="C214" s="2" t="s">
        <v>852</v>
      </c>
      <c r="D214" s="2" t="s">
        <v>919</v>
      </c>
      <c r="E214" s="2" t="s">
        <v>920</v>
      </c>
      <c r="F214" s="2"/>
      <c r="G214" s="2"/>
      <c r="H214" s="2"/>
      <c r="I214" s="2" t="n">
        <v>180</v>
      </c>
      <c r="J214" s="2"/>
      <c r="K214" s="2" t="s">
        <v>193</v>
      </c>
      <c r="L214" s="2"/>
      <c r="M214" s="3" t="n">
        <v>85</v>
      </c>
      <c r="N214" s="4" t="s">
        <v>921</v>
      </c>
      <c r="O214" s="2" t="n">
        <v>25</v>
      </c>
    </row>
    <row r="215" customFormat="false" ht="15" hidden="false" customHeight="false" outlineLevel="0" collapsed="false">
      <c r="A215" s="2" t="s">
        <v>922</v>
      </c>
      <c r="B215" s="2" t="s">
        <v>16</v>
      </c>
      <c r="C215" s="2" t="s">
        <v>852</v>
      </c>
      <c r="D215" s="2" t="s">
        <v>919</v>
      </c>
      <c r="E215" s="2" t="s">
        <v>923</v>
      </c>
      <c r="F215" s="2"/>
      <c r="G215" s="2"/>
      <c r="H215" s="2"/>
      <c r="I215" s="2" t="n">
        <v>180</v>
      </c>
      <c r="J215" s="2"/>
      <c r="K215" s="2" t="s">
        <v>193</v>
      </c>
      <c r="L215" s="2"/>
      <c r="M215" s="3" t="n">
        <v>65</v>
      </c>
      <c r="N215" s="4" t="s">
        <v>924</v>
      </c>
      <c r="O215" s="2" t="n">
        <v>25</v>
      </c>
    </row>
    <row r="216" customFormat="false" ht="15" hidden="false" customHeight="false" outlineLevel="0" collapsed="false">
      <c r="A216" s="2" t="s">
        <v>925</v>
      </c>
      <c r="B216" s="2" t="s">
        <v>16</v>
      </c>
      <c r="C216" s="2" t="s">
        <v>852</v>
      </c>
      <c r="D216" s="2" t="s">
        <v>919</v>
      </c>
      <c r="E216" s="2" t="s">
        <v>926</v>
      </c>
      <c r="F216" s="2"/>
      <c r="G216" s="2"/>
      <c r="H216" s="2"/>
      <c r="I216" s="2" t="n">
        <v>180</v>
      </c>
      <c r="J216" s="2"/>
      <c r="K216" s="2" t="s">
        <v>193</v>
      </c>
      <c r="L216" s="2"/>
      <c r="M216" s="3" t="n">
        <v>85</v>
      </c>
      <c r="N216" s="4" t="s">
        <v>927</v>
      </c>
      <c r="O216" s="2" t="n">
        <v>25</v>
      </c>
    </row>
    <row r="217" customFormat="false" ht="15" hidden="false" customHeight="false" outlineLevel="0" collapsed="false">
      <c r="A217" s="2" t="s">
        <v>928</v>
      </c>
      <c r="B217" s="2" t="s">
        <v>16</v>
      </c>
      <c r="C217" s="2" t="s">
        <v>852</v>
      </c>
      <c r="D217" s="2" t="s">
        <v>919</v>
      </c>
      <c r="E217" s="2" t="s">
        <v>929</v>
      </c>
      <c r="F217" s="2"/>
      <c r="G217" s="2"/>
      <c r="H217" s="2"/>
      <c r="I217" s="2" t="n">
        <v>180</v>
      </c>
      <c r="J217" s="2"/>
      <c r="K217" s="2" t="s">
        <v>193</v>
      </c>
      <c r="L217" s="2"/>
      <c r="M217" s="3" t="n">
        <v>65</v>
      </c>
      <c r="N217" s="4" t="s">
        <v>930</v>
      </c>
      <c r="O217" s="2" t="n">
        <v>25</v>
      </c>
    </row>
    <row r="218" customFormat="false" ht="15" hidden="false" customHeight="false" outlineLevel="0" collapsed="false">
      <c r="A218" s="2" t="s">
        <v>931</v>
      </c>
      <c r="B218" s="2" t="s">
        <v>16</v>
      </c>
      <c r="C218" s="2" t="s">
        <v>852</v>
      </c>
      <c r="D218" s="2" t="s">
        <v>364</v>
      </c>
      <c r="E218" s="2" t="s">
        <v>932</v>
      </c>
      <c r="F218" s="2"/>
      <c r="G218" s="2" t="n">
        <v>62</v>
      </c>
      <c r="H218" s="2" t="s">
        <v>295</v>
      </c>
      <c r="I218" s="2"/>
      <c r="J218" s="2" t="n">
        <v>90</v>
      </c>
      <c r="K218" s="2" t="s">
        <v>193</v>
      </c>
      <c r="L218" s="2"/>
      <c r="M218" s="3" t="n">
        <v>30</v>
      </c>
      <c r="N218" s="4" t="s">
        <v>933</v>
      </c>
      <c r="O218" s="2" t="n">
        <v>25</v>
      </c>
    </row>
    <row r="219" customFormat="false" ht="15" hidden="false" customHeight="false" outlineLevel="0" collapsed="false">
      <c r="A219" s="2" t="s">
        <v>934</v>
      </c>
      <c r="B219" s="2" t="s">
        <v>16</v>
      </c>
      <c r="C219" s="2" t="s">
        <v>852</v>
      </c>
      <c r="D219" s="2" t="s">
        <v>364</v>
      </c>
      <c r="E219" s="2" t="s">
        <v>935</v>
      </c>
      <c r="F219" s="2"/>
      <c r="G219" s="2" t="n">
        <v>62</v>
      </c>
      <c r="H219" s="2" t="s">
        <v>295</v>
      </c>
      <c r="I219" s="2"/>
      <c r="J219" s="2" t="n">
        <v>90</v>
      </c>
      <c r="K219" s="2" t="s">
        <v>193</v>
      </c>
      <c r="L219" s="2"/>
      <c r="M219" s="3" t="n">
        <v>20</v>
      </c>
      <c r="N219" s="4" t="s">
        <v>936</v>
      </c>
      <c r="O219" s="2" t="n">
        <v>25</v>
      </c>
    </row>
    <row r="220" customFormat="false" ht="15" hidden="false" customHeight="false" outlineLevel="0" collapsed="false">
      <c r="A220" s="2" t="s">
        <v>937</v>
      </c>
      <c r="B220" s="2" t="s">
        <v>16</v>
      </c>
      <c r="C220" s="2" t="s">
        <v>852</v>
      </c>
      <c r="D220" s="2" t="s">
        <v>938</v>
      </c>
      <c r="E220" s="2" t="s">
        <v>939</v>
      </c>
      <c r="F220" s="2"/>
      <c r="G220" s="2"/>
      <c r="H220" s="2"/>
      <c r="I220" s="2"/>
      <c r="J220" s="2"/>
      <c r="K220" s="2" t="s">
        <v>193</v>
      </c>
      <c r="L220" s="2"/>
      <c r="M220" s="3" t="n">
        <v>27</v>
      </c>
      <c r="N220" s="4" t="s">
        <v>940</v>
      </c>
      <c r="O220" s="2" t="n">
        <v>25</v>
      </c>
    </row>
    <row r="221" customFormat="false" ht="15" hidden="false" customHeight="false" outlineLevel="0" collapsed="false">
      <c r="A221" s="2" t="s">
        <v>941</v>
      </c>
      <c r="B221" s="2" t="s">
        <v>16</v>
      </c>
      <c r="C221" s="2" t="s">
        <v>852</v>
      </c>
      <c r="D221" s="2" t="s">
        <v>938</v>
      </c>
      <c r="E221" s="2" t="s">
        <v>942</v>
      </c>
      <c r="F221" s="2"/>
      <c r="G221" s="2" t="n">
        <v>186</v>
      </c>
      <c r="H221" s="2" t="s">
        <v>173</v>
      </c>
      <c r="I221" s="2"/>
      <c r="J221" s="2"/>
      <c r="K221" s="2" t="s">
        <v>193</v>
      </c>
      <c r="L221" s="2"/>
      <c r="M221" s="3" t="n">
        <v>16</v>
      </c>
      <c r="N221" s="4" t="s">
        <v>943</v>
      </c>
      <c r="O221" s="2" t="n">
        <v>25</v>
      </c>
    </row>
    <row r="222" customFormat="false" ht="15" hidden="false" customHeight="false" outlineLevel="0" collapsed="false">
      <c r="A222" s="2" t="s">
        <v>944</v>
      </c>
      <c r="B222" s="2" t="s">
        <v>16</v>
      </c>
      <c r="C222" s="2" t="s">
        <v>852</v>
      </c>
      <c r="D222" s="2" t="s">
        <v>938</v>
      </c>
      <c r="E222" s="2" t="s">
        <v>945</v>
      </c>
      <c r="F222" s="2"/>
      <c r="G222" s="2"/>
      <c r="H222" s="2"/>
      <c r="I222" s="2"/>
      <c r="J222" s="2"/>
      <c r="K222" s="2" t="s">
        <v>193</v>
      </c>
      <c r="L222" s="2"/>
      <c r="M222" s="3" t="n">
        <v>22</v>
      </c>
      <c r="N222" s="4" t="s">
        <v>946</v>
      </c>
      <c r="O222" s="2" t="n">
        <v>25</v>
      </c>
    </row>
    <row r="223" customFormat="false" ht="15" hidden="false" customHeight="false" outlineLevel="0" collapsed="false">
      <c r="A223" s="2" t="s">
        <v>947</v>
      </c>
      <c r="B223" s="2" t="s">
        <v>16</v>
      </c>
      <c r="C223" s="2" t="s">
        <v>852</v>
      </c>
      <c r="D223" s="2" t="s">
        <v>938</v>
      </c>
      <c r="E223" s="2" t="s">
        <v>948</v>
      </c>
      <c r="F223" s="2"/>
      <c r="G223" s="2"/>
      <c r="H223" s="2"/>
      <c r="I223" s="2"/>
      <c r="J223" s="2"/>
      <c r="K223" s="2" t="s">
        <v>193</v>
      </c>
      <c r="L223" s="2"/>
      <c r="M223" s="3" t="n">
        <v>18</v>
      </c>
      <c r="N223" s="4" t="s">
        <v>949</v>
      </c>
      <c r="O223" s="2" t="n">
        <v>25</v>
      </c>
    </row>
    <row r="224" customFormat="false" ht="23.85" hidden="false" customHeight="false" outlineLevel="0" collapsed="false">
      <c r="A224" s="2" t="s">
        <v>950</v>
      </c>
      <c r="B224" s="2" t="s">
        <v>16</v>
      </c>
      <c r="C224" s="2" t="s">
        <v>852</v>
      </c>
      <c r="D224" s="2" t="s">
        <v>951</v>
      </c>
      <c r="E224" s="2" t="s">
        <v>952</v>
      </c>
      <c r="F224" s="2"/>
      <c r="G224" s="2"/>
      <c r="H224" s="2"/>
      <c r="I224" s="2"/>
      <c r="J224" s="2"/>
      <c r="K224" s="2" t="s">
        <v>624</v>
      </c>
      <c r="L224" s="2"/>
      <c r="M224" s="3" t="n">
        <v>25</v>
      </c>
      <c r="N224" s="4" t="s">
        <v>953</v>
      </c>
      <c r="O224" s="2" t="n">
        <v>25</v>
      </c>
    </row>
    <row r="225" customFormat="false" ht="15" hidden="false" customHeight="false" outlineLevel="0" collapsed="false">
      <c r="A225" s="2" t="s">
        <v>954</v>
      </c>
      <c r="B225" s="2" t="s">
        <v>16</v>
      </c>
      <c r="C225" s="2" t="s">
        <v>852</v>
      </c>
      <c r="D225" s="2" t="s">
        <v>951</v>
      </c>
      <c r="E225" s="2" t="s">
        <v>955</v>
      </c>
      <c r="F225" s="2"/>
      <c r="G225" s="2" t="n">
        <v>186</v>
      </c>
      <c r="H225" s="2" t="s">
        <v>173</v>
      </c>
      <c r="I225" s="2"/>
      <c r="J225" s="2"/>
      <c r="K225" s="2" t="s">
        <v>20</v>
      </c>
      <c r="L225" s="2"/>
      <c r="M225" s="3" t="n">
        <v>42</v>
      </c>
      <c r="N225" s="4" t="s">
        <v>956</v>
      </c>
      <c r="O225" s="2" t="n">
        <v>25</v>
      </c>
    </row>
    <row r="226" customFormat="false" ht="23.85" hidden="false" customHeight="false" outlineLevel="0" collapsed="false">
      <c r="A226" s="2" t="s">
        <v>957</v>
      </c>
      <c r="B226" s="2" t="s">
        <v>16</v>
      </c>
      <c r="C226" s="2" t="s">
        <v>852</v>
      </c>
      <c r="D226" s="2" t="s">
        <v>951</v>
      </c>
      <c r="E226" s="2" t="s">
        <v>958</v>
      </c>
      <c r="F226" s="2"/>
      <c r="G226" s="2" t="n">
        <v>229</v>
      </c>
      <c r="H226" s="2" t="s">
        <v>959</v>
      </c>
      <c r="I226" s="2"/>
      <c r="J226" s="2"/>
      <c r="K226" s="2" t="s">
        <v>20</v>
      </c>
      <c r="L226" s="2"/>
      <c r="M226" s="3" t="n">
        <v>27</v>
      </c>
      <c r="N226" s="4" t="s">
        <v>960</v>
      </c>
      <c r="O226" s="2" t="n">
        <v>25</v>
      </c>
    </row>
    <row r="227" customFormat="false" ht="15" hidden="false" customHeight="false" outlineLevel="0" collapsed="false">
      <c r="A227" s="2" t="s">
        <v>961</v>
      </c>
      <c r="B227" s="2" t="s">
        <v>16</v>
      </c>
      <c r="C227" s="2" t="s">
        <v>852</v>
      </c>
      <c r="D227" s="2" t="s">
        <v>962</v>
      </c>
      <c r="E227" s="2" t="s">
        <v>963</v>
      </c>
      <c r="F227" s="2"/>
      <c r="G227" s="2"/>
      <c r="H227" s="2"/>
      <c r="I227" s="2"/>
      <c r="J227" s="2"/>
      <c r="K227" s="2" t="s">
        <v>379</v>
      </c>
      <c r="L227" s="2"/>
      <c r="M227" s="3" t="n">
        <v>9.5</v>
      </c>
      <c r="N227" s="4" t="s">
        <v>964</v>
      </c>
      <c r="O227" s="2" t="n">
        <v>25</v>
      </c>
    </row>
    <row r="228" customFormat="false" ht="15" hidden="false" customHeight="false" outlineLevel="0" collapsed="false">
      <c r="A228" s="2" t="s">
        <v>965</v>
      </c>
      <c r="B228" s="2" t="s">
        <v>16</v>
      </c>
      <c r="C228" s="2" t="s">
        <v>852</v>
      </c>
      <c r="D228" s="2" t="s">
        <v>372</v>
      </c>
      <c r="E228" s="2" t="s">
        <v>966</v>
      </c>
      <c r="F228" s="2"/>
      <c r="G228" s="2" t="n">
        <v>900</v>
      </c>
      <c r="H228" s="2" t="s">
        <v>967</v>
      </c>
      <c r="I228" s="2"/>
      <c r="J228" s="2"/>
      <c r="K228" s="2" t="s">
        <v>193</v>
      </c>
      <c r="L228" s="2"/>
      <c r="M228" s="3" t="n">
        <v>9.5</v>
      </c>
      <c r="N228" s="4" t="s">
        <v>968</v>
      </c>
      <c r="O228" s="2" t="n">
        <v>25</v>
      </c>
    </row>
    <row r="229" customFormat="false" ht="23.85" hidden="false" customHeight="false" outlineLevel="0" collapsed="false">
      <c r="A229" s="2" t="s">
        <v>969</v>
      </c>
      <c r="B229" s="2" t="s">
        <v>16</v>
      </c>
      <c r="C229" s="2" t="s">
        <v>970</v>
      </c>
      <c r="D229" s="2" t="s">
        <v>971</v>
      </c>
      <c r="E229" s="2" t="s">
        <v>972</v>
      </c>
      <c r="F229" s="2"/>
      <c r="G229" s="2"/>
      <c r="H229" s="2"/>
      <c r="I229" s="2"/>
      <c r="J229" s="2"/>
      <c r="K229" s="2" t="s">
        <v>822</v>
      </c>
      <c r="L229" s="2"/>
      <c r="M229" s="3" t="n">
        <v>30</v>
      </c>
      <c r="N229" s="4" t="s">
        <v>973</v>
      </c>
      <c r="O229" s="2" t="n">
        <v>26</v>
      </c>
    </row>
    <row r="230" customFormat="false" ht="23.85" hidden="false" customHeight="false" outlineLevel="0" collapsed="false">
      <c r="A230" s="2" t="s">
        <v>974</v>
      </c>
      <c r="B230" s="2" t="s">
        <v>16</v>
      </c>
      <c r="C230" s="2" t="s">
        <v>970</v>
      </c>
      <c r="D230" s="2" t="s">
        <v>975</v>
      </c>
      <c r="E230" s="2" t="s">
        <v>976</v>
      </c>
      <c r="F230" s="2"/>
      <c r="G230" s="2"/>
      <c r="H230" s="2"/>
      <c r="I230" s="2"/>
      <c r="J230" s="2"/>
      <c r="K230" s="2" t="s">
        <v>977</v>
      </c>
      <c r="L230" s="2"/>
      <c r="M230" s="3" t="n">
        <v>9</v>
      </c>
      <c r="N230" s="4" t="s">
        <v>978</v>
      </c>
      <c r="O230" s="2" t="n">
        <v>26</v>
      </c>
    </row>
    <row r="231" customFormat="false" ht="23.85" hidden="false" customHeight="false" outlineLevel="0" collapsed="false">
      <c r="A231" s="2" t="s">
        <v>979</v>
      </c>
      <c r="B231" s="2" t="s">
        <v>16</v>
      </c>
      <c r="C231" s="2" t="s">
        <v>970</v>
      </c>
      <c r="D231" s="2" t="s">
        <v>980</v>
      </c>
      <c r="E231" s="2" t="s">
        <v>981</v>
      </c>
      <c r="F231" s="2"/>
      <c r="G231" s="2"/>
      <c r="H231" s="2"/>
      <c r="I231" s="2"/>
      <c r="J231" s="2"/>
      <c r="K231" s="2" t="s">
        <v>982</v>
      </c>
      <c r="L231" s="2"/>
      <c r="M231" s="3" t="n">
        <v>8.5</v>
      </c>
      <c r="N231" s="4" t="s">
        <v>983</v>
      </c>
      <c r="O231" s="2" t="n">
        <v>26</v>
      </c>
    </row>
    <row r="232" customFormat="false" ht="15" hidden="false" customHeight="false" outlineLevel="0" collapsed="false">
      <c r="A232" s="2" t="s">
        <v>984</v>
      </c>
      <c r="B232" s="2" t="s">
        <v>16</v>
      </c>
      <c r="C232" s="2" t="s">
        <v>970</v>
      </c>
      <c r="D232" s="2" t="s">
        <v>985</v>
      </c>
      <c r="E232" s="2" t="s">
        <v>986</v>
      </c>
      <c r="F232" s="2"/>
      <c r="G232" s="2"/>
      <c r="H232" s="2"/>
      <c r="I232" s="2"/>
      <c r="J232" s="2"/>
      <c r="K232" s="2" t="s">
        <v>822</v>
      </c>
      <c r="L232" s="2"/>
      <c r="M232" s="3" t="n">
        <v>12</v>
      </c>
      <c r="N232" s="4" t="s">
        <v>987</v>
      </c>
      <c r="O232" s="2" t="n">
        <v>26</v>
      </c>
    </row>
    <row r="233" customFormat="false" ht="15" hidden="false" customHeight="false" outlineLevel="0" collapsed="false">
      <c r="A233" s="2" t="s">
        <v>988</v>
      </c>
      <c r="B233" s="2" t="s">
        <v>16</v>
      </c>
      <c r="C233" s="2" t="s">
        <v>970</v>
      </c>
      <c r="D233" s="2" t="s">
        <v>989</v>
      </c>
      <c r="E233" s="2" t="s">
        <v>990</v>
      </c>
      <c r="F233" s="2"/>
      <c r="G233" s="2"/>
      <c r="H233" s="2"/>
      <c r="I233" s="2"/>
      <c r="J233" s="2"/>
      <c r="K233" s="2" t="s">
        <v>379</v>
      </c>
      <c r="L233" s="2"/>
      <c r="M233" s="3" t="n">
        <v>13</v>
      </c>
      <c r="N233" s="4" t="s">
        <v>991</v>
      </c>
      <c r="O233" s="2" t="n">
        <v>26</v>
      </c>
    </row>
    <row r="234" customFormat="false" ht="15" hidden="false" customHeight="false" outlineLevel="0" collapsed="false">
      <c r="A234" s="2" t="s">
        <v>992</v>
      </c>
      <c r="B234" s="2" t="s">
        <v>16</v>
      </c>
      <c r="C234" s="2" t="s">
        <v>970</v>
      </c>
      <c r="D234" s="2" t="s">
        <v>993</v>
      </c>
      <c r="E234" s="2" t="s">
        <v>994</v>
      </c>
      <c r="F234" s="2"/>
      <c r="G234" s="2"/>
      <c r="H234" s="2"/>
      <c r="I234" s="2"/>
      <c r="J234" s="2"/>
      <c r="K234" s="2" t="s">
        <v>379</v>
      </c>
      <c r="L234" s="2"/>
      <c r="M234" s="3" t="n">
        <v>16</v>
      </c>
      <c r="N234" s="4" t="s">
        <v>995</v>
      </c>
      <c r="O234" s="2" t="n">
        <v>26</v>
      </c>
    </row>
    <row r="235" customFormat="false" ht="15" hidden="false" customHeight="false" outlineLevel="0" collapsed="false">
      <c r="A235" s="2" t="s">
        <v>996</v>
      </c>
      <c r="B235" s="2" t="s">
        <v>16</v>
      </c>
      <c r="C235" s="2" t="s">
        <v>970</v>
      </c>
      <c r="D235" s="2" t="s">
        <v>997</v>
      </c>
      <c r="E235" s="2" t="s">
        <v>998</v>
      </c>
      <c r="F235" s="2"/>
      <c r="G235" s="2"/>
      <c r="H235" s="2"/>
      <c r="I235" s="2"/>
      <c r="J235" s="2"/>
      <c r="K235" s="2" t="s">
        <v>977</v>
      </c>
      <c r="L235" s="2"/>
      <c r="M235" s="3" t="n">
        <v>20</v>
      </c>
      <c r="N235" s="4" t="s">
        <v>999</v>
      </c>
      <c r="O235" s="2" t="n">
        <v>26</v>
      </c>
    </row>
    <row r="236" customFormat="false" ht="15" hidden="false" customHeight="false" outlineLevel="0" collapsed="false">
      <c r="A236" s="2" t="s">
        <v>1000</v>
      </c>
      <c r="B236" s="2" t="s">
        <v>16</v>
      </c>
      <c r="C236" s="2" t="s">
        <v>970</v>
      </c>
      <c r="D236" s="2" t="s">
        <v>1001</v>
      </c>
      <c r="E236" s="2" t="s">
        <v>1002</v>
      </c>
      <c r="F236" s="2"/>
      <c r="G236" s="2"/>
      <c r="H236" s="2"/>
      <c r="I236" s="2"/>
      <c r="J236" s="2"/>
      <c r="K236" s="2" t="s">
        <v>379</v>
      </c>
      <c r="L236" s="2"/>
      <c r="M236" s="3" t="n">
        <v>20</v>
      </c>
      <c r="N236" s="4" t="s">
        <v>1003</v>
      </c>
      <c r="O236" s="2" t="n">
        <v>26</v>
      </c>
    </row>
    <row r="237" customFormat="false" ht="35.05" hidden="false" customHeight="false" outlineLevel="0" collapsed="false">
      <c r="A237" s="8" t="s">
        <v>1004</v>
      </c>
      <c r="B237" s="8" t="s">
        <v>1005</v>
      </c>
      <c r="C237" s="8" t="s">
        <v>87</v>
      </c>
      <c r="D237" s="8" t="s">
        <v>88</v>
      </c>
      <c r="E237" s="8" t="s">
        <v>1006</v>
      </c>
      <c r="F237" s="8"/>
      <c r="G237" s="8" t="n">
        <v>2400</v>
      </c>
      <c r="H237" s="8" t="s">
        <v>1007</v>
      </c>
      <c r="I237" s="8"/>
      <c r="J237" s="8"/>
      <c r="K237" s="8" t="s">
        <v>20</v>
      </c>
      <c r="L237" s="8"/>
      <c r="M237" s="9" t="n">
        <v>310</v>
      </c>
      <c r="N237" s="10" t="s">
        <v>1008</v>
      </c>
      <c r="O237" s="8" t="n">
        <v>28</v>
      </c>
    </row>
    <row r="238" customFormat="false" ht="23.85" hidden="false" customHeight="false" outlineLevel="0" collapsed="false">
      <c r="A238" s="8" t="s">
        <v>1009</v>
      </c>
      <c r="B238" s="8" t="s">
        <v>1005</v>
      </c>
      <c r="C238" s="8" t="s">
        <v>87</v>
      </c>
      <c r="D238" s="8" t="s">
        <v>830</v>
      </c>
      <c r="E238" s="8" t="s">
        <v>1010</v>
      </c>
      <c r="F238" s="8" t="s">
        <v>1011</v>
      </c>
      <c r="G238" s="8" t="n">
        <v>670</v>
      </c>
      <c r="H238" s="8" t="s">
        <v>1012</v>
      </c>
      <c r="I238" s="8" t="n">
        <v>670</v>
      </c>
      <c r="J238" s="8"/>
      <c r="K238" s="8" t="s">
        <v>20</v>
      </c>
      <c r="L238" s="8"/>
      <c r="M238" s="9" t="n">
        <v>230</v>
      </c>
      <c r="N238" s="10" t="s">
        <v>1013</v>
      </c>
      <c r="O238" s="8" t="n">
        <v>28</v>
      </c>
    </row>
    <row r="239" customFormat="false" ht="23.85" hidden="false" customHeight="false" outlineLevel="0" collapsed="false">
      <c r="A239" s="8" t="s">
        <v>1014</v>
      </c>
      <c r="B239" s="8" t="s">
        <v>1005</v>
      </c>
      <c r="C239" s="8" t="s">
        <v>97</v>
      </c>
      <c r="D239" s="8" t="s">
        <v>1015</v>
      </c>
      <c r="E239" s="8" t="s">
        <v>1016</v>
      </c>
      <c r="F239" s="8" t="s">
        <v>1017</v>
      </c>
      <c r="G239" s="8" t="n">
        <v>730</v>
      </c>
      <c r="H239" s="8" t="s">
        <v>1018</v>
      </c>
      <c r="I239" s="8" t="n">
        <v>730</v>
      </c>
      <c r="J239" s="8"/>
      <c r="K239" s="8" t="s">
        <v>20</v>
      </c>
      <c r="L239" s="8"/>
      <c r="M239" s="9" t="n">
        <v>140</v>
      </c>
      <c r="N239" s="10" t="s">
        <v>1019</v>
      </c>
      <c r="O239" s="8" t="n">
        <v>28</v>
      </c>
    </row>
    <row r="240" customFormat="false" ht="23.85" hidden="false" customHeight="false" outlineLevel="0" collapsed="false">
      <c r="A240" s="8" t="s">
        <v>1020</v>
      </c>
      <c r="B240" s="8" t="s">
        <v>1005</v>
      </c>
      <c r="C240" s="8" t="s">
        <v>97</v>
      </c>
      <c r="D240" s="8" t="s">
        <v>1021</v>
      </c>
      <c r="E240" s="8" t="s">
        <v>1022</v>
      </c>
      <c r="F240" s="8" t="s">
        <v>1023</v>
      </c>
      <c r="G240" s="8"/>
      <c r="H240" s="8"/>
      <c r="I240" s="8"/>
      <c r="J240" s="8"/>
      <c r="K240" s="8" t="s">
        <v>20</v>
      </c>
      <c r="L240" s="8"/>
      <c r="M240" s="9" t="n">
        <v>150</v>
      </c>
      <c r="N240" s="10" t="s">
        <v>1024</v>
      </c>
      <c r="O240" s="8" t="n">
        <v>28</v>
      </c>
    </row>
    <row r="241" customFormat="false" ht="46.25" hidden="false" customHeight="false" outlineLevel="0" collapsed="false">
      <c r="A241" s="8" t="s">
        <v>1025</v>
      </c>
      <c r="B241" s="8" t="s">
        <v>1005</v>
      </c>
      <c r="C241" s="8" t="s">
        <v>97</v>
      </c>
      <c r="D241" s="8" t="s">
        <v>1026</v>
      </c>
      <c r="E241" s="8" t="s">
        <v>1027</v>
      </c>
      <c r="F241" s="8" t="s">
        <v>1028</v>
      </c>
      <c r="G241" s="8"/>
      <c r="H241" s="8"/>
      <c r="I241" s="8"/>
      <c r="J241" s="8"/>
      <c r="K241" s="8" t="s">
        <v>20</v>
      </c>
      <c r="L241" s="8"/>
      <c r="M241" s="9" t="n">
        <v>135</v>
      </c>
      <c r="N241" s="10" t="s">
        <v>1029</v>
      </c>
      <c r="O241" s="8" t="n">
        <v>29</v>
      </c>
    </row>
    <row r="242" customFormat="false" ht="23.85" hidden="false" customHeight="false" outlineLevel="0" collapsed="false">
      <c r="A242" s="8" t="s">
        <v>1030</v>
      </c>
      <c r="B242" s="8" t="s">
        <v>1005</v>
      </c>
      <c r="C242" s="8" t="s">
        <v>97</v>
      </c>
      <c r="D242" s="8" t="s">
        <v>830</v>
      </c>
      <c r="E242" s="8" t="s">
        <v>1031</v>
      </c>
      <c r="F242" s="8" t="s">
        <v>1032</v>
      </c>
      <c r="G242" s="8" t="n">
        <v>550</v>
      </c>
      <c r="H242" s="8" t="s">
        <v>1033</v>
      </c>
      <c r="I242" s="8" t="n">
        <v>550</v>
      </c>
      <c r="J242" s="8"/>
      <c r="K242" s="8" t="s">
        <v>20</v>
      </c>
      <c r="L242" s="8"/>
      <c r="M242" s="9" t="n">
        <v>130</v>
      </c>
      <c r="N242" s="10" t="s">
        <v>1034</v>
      </c>
      <c r="O242" s="8" t="n">
        <v>29</v>
      </c>
    </row>
    <row r="243" customFormat="false" ht="23.85" hidden="false" customHeight="false" outlineLevel="0" collapsed="false">
      <c r="A243" s="8" t="s">
        <v>1035</v>
      </c>
      <c r="B243" s="8" t="s">
        <v>1005</v>
      </c>
      <c r="C243" s="8" t="s">
        <v>97</v>
      </c>
      <c r="D243" s="8" t="s">
        <v>274</v>
      </c>
      <c r="E243" s="8" t="s">
        <v>1036</v>
      </c>
      <c r="F243" s="8" t="s">
        <v>1037</v>
      </c>
      <c r="G243" s="8"/>
      <c r="H243" s="8"/>
      <c r="I243" s="8"/>
      <c r="J243" s="8"/>
      <c r="K243" s="8" t="s">
        <v>20</v>
      </c>
      <c r="L243" s="8"/>
      <c r="M243" s="9" t="n">
        <v>200</v>
      </c>
      <c r="N243" s="10" t="s">
        <v>1038</v>
      </c>
      <c r="O243" s="8" t="n">
        <v>29</v>
      </c>
    </row>
    <row r="244" customFormat="false" ht="15" hidden="false" customHeight="false" outlineLevel="0" collapsed="false">
      <c r="A244" s="8" t="s">
        <v>1039</v>
      </c>
      <c r="B244" s="8" t="s">
        <v>1005</v>
      </c>
      <c r="C244" s="8" t="s">
        <v>158</v>
      </c>
      <c r="D244" s="8" t="s">
        <v>1040</v>
      </c>
      <c r="E244" s="8" t="s">
        <v>1041</v>
      </c>
      <c r="F244" s="8" t="s">
        <v>1042</v>
      </c>
      <c r="G244" s="8" t="n">
        <v>369</v>
      </c>
      <c r="H244" s="8" t="s">
        <v>1043</v>
      </c>
      <c r="I244" s="8"/>
      <c r="J244" s="8"/>
      <c r="K244" s="8" t="s">
        <v>163</v>
      </c>
      <c r="L244" s="8"/>
      <c r="M244" s="9" t="n">
        <v>19</v>
      </c>
      <c r="N244" s="10" t="s">
        <v>1044</v>
      </c>
      <c r="O244" s="8" t="n">
        <v>30</v>
      </c>
    </row>
    <row r="245" customFormat="false" ht="15" hidden="false" customHeight="false" outlineLevel="0" collapsed="false">
      <c r="A245" s="8" t="s">
        <v>1045</v>
      </c>
      <c r="B245" s="8" t="s">
        <v>1005</v>
      </c>
      <c r="C245" s="8" t="s">
        <v>158</v>
      </c>
      <c r="D245" s="8" t="s">
        <v>386</v>
      </c>
      <c r="E245" s="8" t="s">
        <v>1046</v>
      </c>
      <c r="F245" s="8" t="s">
        <v>1047</v>
      </c>
      <c r="G245" s="8" t="n">
        <v>246</v>
      </c>
      <c r="H245" s="8" t="s">
        <v>1048</v>
      </c>
      <c r="I245" s="8"/>
      <c r="J245" s="8"/>
      <c r="K245" s="8" t="s">
        <v>163</v>
      </c>
      <c r="L245" s="8"/>
      <c r="M245" s="9" t="n">
        <v>17.5</v>
      </c>
      <c r="N245" s="10" t="s">
        <v>1049</v>
      </c>
      <c r="O245" s="8" t="n">
        <v>30</v>
      </c>
    </row>
    <row r="246" customFormat="false" ht="15" hidden="false" customHeight="false" outlineLevel="0" collapsed="false">
      <c r="A246" s="8" t="s">
        <v>1050</v>
      </c>
      <c r="B246" s="8" t="s">
        <v>1005</v>
      </c>
      <c r="C246" s="8" t="s">
        <v>298</v>
      </c>
      <c r="D246" s="8" t="s">
        <v>299</v>
      </c>
      <c r="E246" s="8" t="s">
        <v>1051</v>
      </c>
      <c r="F246" s="8" t="s">
        <v>1052</v>
      </c>
      <c r="G246" s="8" t="n">
        <v>246</v>
      </c>
      <c r="H246" s="8" t="s">
        <v>1048</v>
      </c>
      <c r="I246" s="8"/>
      <c r="J246" s="8"/>
      <c r="K246" s="8" t="s">
        <v>193</v>
      </c>
      <c r="L246" s="8"/>
      <c r="M246" s="9" t="n">
        <v>6.5</v>
      </c>
      <c r="N246" s="10" t="s">
        <v>1053</v>
      </c>
      <c r="O246" s="8" t="n">
        <v>30</v>
      </c>
    </row>
    <row r="247" customFormat="false" ht="15" hidden="false" customHeight="false" outlineLevel="0" collapsed="false">
      <c r="A247" s="8" t="s">
        <v>1054</v>
      </c>
      <c r="B247" s="8" t="s">
        <v>1005</v>
      </c>
      <c r="C247" s="8" t="s">
        <v>158</v>
      </c>
      <c r="D247" s="8" t="s">
        <v>386</v>
      </c>
      <c r="E247" s="8" t="s">
        <v>1055</v>
      </c>
      <c r="F247" s="8" t="s">
        <v>1056</v>
      </c>
      <c r="G247" s="8" t="n">
        <v>227</v>
      </c>
      <c r="H247" s="8" t="s">
        <v>1057</v>
      </c>
      <c r="I247" s="8"/>
      <c r="J247" s="8"/>
      <c r="K247" s="8" t="s">
        <v>188</v>
      </c>
      <c r="L247" s="8"/>
      <c r="M247" s="9" t="n">
        <v>11</v>
      </c>
      <c r="N247" s="10" t="s">
        <v>1058</v>
      </c>
      <c r="O247" s="8" t="n">
        <v>30</v>
      </c>
    </row>
    <row r="248" customFormat="false" ht="23.85" hidden="false" customHeight="false" outlineLevel="0" collapsed="false">
      <c r="A248" s="8" t="s">
        <v>1059</v>
      </c>
      <c r="B248" s="8" t="s">
        <v>1005</v>
      </c>
      <c r="C248" s="8" t="s">
        <v>158</v>
      </c>
      <c r="D248" s="8" t="s">
        <v>386</v>
      </c>
      <c r="E248" s="8" t="s">
        <v>1060</v>
      </c>
      <c r="F248" s="8" t="s">
        <v>1061</v>
      </c>
      <c r="G248" s="8" t="n">
        <v>174</v>
      </c>
      <c r="H248" s="8" t="s">
        <v>1062</v>
      </c>
      <c r="I248" s="8"/>
      <c r="J248" s="8"/>
      <c r="K248" s="8" t="s">
        <v>163</v>
      </c>
      <c r="L248" s="8"/>
      <c r="M248" s="9" t="n">
        <v>16</v>
      </c>
      <c r="N248" s="10" t="s">
        <v>1063</v>
      </c>
      <c r="O248" s="8" t="n">
        <v>30</v>
      </c>
    </row>
    <row r="249" customFormat="false" ht="23.85" hidden="false" customHeight="false" outlineLevel="0" collapsed="false">
      <c r="A249" s="8" t="s">
        <v>1064</v>
      </c>
      <c r="B249" s="8" t="s">
        <v>1005</v>
      </c>
      <c r="C249" s="8" t="s">
        <v>158</v>
      </c>
      <c r="D249" s="8" t="s">
        <v>386</v>
      </c>
      <c r="E249" s="8" t="s">
        <v>1065</v>
      </c>
      <c r="F249" s="8" t="s">
        <v>1066</v>
      </c>
      <c r="G249" s="8" t="n">
        <v>149</v>
      </c>
      <c r="H249" s="8" t="s">
        <v>1067</v>
      </c>
      <c r="I249" s="8"/>
      <c r="J249" s="8"/>
      <c r="K249" s="8" t="s">
        <v>188</v>
      </c>
      <c r="L249" s="8"/>
      <c r="M249" s="9" t="n">
        <v>10</v>
      </c>
      <c r="N249" s="10" t="s">
        <v>1068</v>
      </c>
      <c r="O249" s="8" t="n">
        <v>30</v>
      </c>
    </row>
    <row r="250" customFormat="false" ht="15" hidden="false" customHeight="false" outlineLevel="0" collapsed="false">
      <c r="A250" s="8" t="s">
        <v>1069</v>
      </c>
      <c r="B250" s="8" t="s">
        <v>1005</v>
      </c>
      <c r="C250" s="8" t="s">
        <v>158</v>
      </c>
      <c r="D250" s="8" t="s">
        <v>386</v>
      </c>
      <c r="E250" s="8" t="s">
        <v>1070</v>
      </c>
      <c r="F250" s="8" t="s">
        <v>1071</v>
      </c>
      <c r="G250" s="8" t="n">
        <v>123</v>
      </c>
      <c r="H250" s="8" t="s">
        <v>1072</v>
      </c>
      <c r="I250" s="8"/>
      <c r="J250" s="8"/>
      <c r="K250" s="8" t="s">
        <v>163</v>
      </c>
      <c r="L250" s="8"/>
      <c r="M250" s="9" t="n">
        <v>16</v>
      </c>
      <c r="N250" s="10" t="s">
        <v>1073</v>
      </c>
      <c r="O250" s="8" t="n">
        <v>30</v>
      </c>
    </row>
    <row r="251" customFormat="false" ht="23.85" hidden="false" customHeight="false" outlineLevel="0" collapsed="false">
      <c r="A251" s="8" t="s">
        <v>1074</v>
      </c>
      <c r="B251" s="8" t="s">
        <v>1005</v>
      </c>
      <c r="C251" s="8" t="s">
        <v>266</v>
      </c>
      <c r="D251" s="8" t="s">
        <v>1075</v>
      </c>
      <c r="E251" s="8" t="s">
        <v>1076</v>
      </c>
      <c r="F251" s="8" t="s">
        <v>1077</v>
      </c>
      <c r="G251" s="8" t="n">
        <v>123</v>
      </c>
      <c r="H251" s="8" t="s">
        <v>1072</v>
      </c>
      <c r="I251" s="8"/>
      <c r="J251" s="8"/>
      <c r="K251" s="8" t="s">
        <v>188</v>
      </c>
      <c r="L251" s="8"/>
      <c r="M251" s="9" t="n">
        <v>13</v>
      </c>
      <c r="N251" s="10" t="s">
        <v>1078</v>
      </c>
      <c r="O251" s="8" t="n">
        <v>30</v>
      </c>
    </row>
    <row r="252" customFormat="false" ht="15" hidden="false" customHeight="false" outlineLevel="0" collapsed="false">
      <c r="A252" s="8" t="s">
        <v>1079</v>
      </c>
      <c r="B252" s="8" t="s">
        <v>1005</v>
      </c>
      <c r="C252" s="8" t="s">
        <v>266</v>
      </c>
      <c r="D252" s="8" t="s">
        <v>289</v>
      </c>
      <c r="E252" s="8" t="s">
        <v>1080</v>
      </c>
      <c r="F252" s="8" t="s">
        <v>1081</v>
      </c>
      <c r="G252" s="8" t="n">
        <v>123</v>
      </c>
      <c r="H252" s="8" t="s">
        <v>1072</v>
      </c>
      <c r="I252" s="8"/>
      <c r="J252" s="8"/>
      <c r="K252" s="8" t="s">
        <v>188</v>
      </c>
      <c r="L252" s="8"/>
      <c r="M252" s="9" t="n">
        <v>21.5</v>
      </c>
      <c r="N252" s="10" t="s">
        <v>1082</v>
      </c>
      <c r="O252" s="8" t="n">
        <v>30</v>
      </c>
    </row>
    <row r="253" customFormat="false" ht="23.85" hidden="false" customHeight="false" outlineLevel="0" collapsed="false">
      <c r="A253" s="8" t="s">
        <v>1083</v>
      </c>
      <c r="B253" s="8" t="s">
        <v>1005</v>
      </c>
      <c r="C253" s="8" t="s">
        <v>158</v>
      </c>
      <c r="D253" s="8" t="s">
        <v>283</v>
      </c>
      <c r="E253" s="8" t="s">
        <v>1084</v>
      </c>
      <c r="F253" s="8" t="s">
        <v>1085</v>
      </c>
      <c r="G253" s="8" t="n">
        <v>114</v>
      </c>
      <c r="H253" s="8" t="s">
        <v>1086</v>
      </c>
      <c r="I253" s="8"/>
      <c r="J253" s="8"/>
      <c r="K253" s="8" t="s">
        <v>163</v>
      </c>
      <c r="L253" s="8"/>
      <c r="M253" s="9" t="n">
        <v>16</v>
      </c>
      <c r="N253" s="10" t="s">
        <v>1087</v>
      </c>
      <c r="O253" s="8" t="n">
        <v>30</v>
      </c>
    </row>
    <row r="254" customFormat="false" ht="23.85" hidden="false" customHeight="false" outlineLevel="0" collapsed="false">
      <c r="A254" s="8" t="s">
        <v>1088</v>
      </c>
      <c r="B254" s="8" t="s">
        <v>1005</v>
      </c>
      <c r="C254" s="8" t="s">
        <v>319</v>
      </c>
      <c r="D254" s="8" t="s">
        <v>1089</v>
      </c>
      <c r="E254" s="8" t="s">
        <v>1090</v>
      </c>
      <c r="F254" s="8" t="s">
        <v>1091</v>
      </c>
      <c r="G254" s="8" t="n">
        <v>97</v>
      </c>
      <c r="H254" s="8" t="s">
        <v>1092</v>
      </c>
      <c r="I254" s="8"/>
      <c r="J254" s="8"/>
      <c r="K254" s="8" t="s">
        <v>163</v>
      </c>
      <c r="L254" s="8"/>
      <c r="M254" s="9" t="n">
        <v>25</v>
      </c>
      <c r="N254" s="10" t="s">
        <v>1093</v>
      </c>
      <c r="O254" s="8" t="n">
        <v>30</v>
      </c>
    </row>
    <row r="255" customFormat="false" ht="23.85" hidden="false" customHeight="false" outlineLevel="0" collapsed="false">
      <c r="A255" s="8" t="s">
        <v>1094</v>
      </c>
      <c r="B255" s="8" t="s">
        <v>1005</v>
      </c>
      <c r="C255" s="8" t="s">
        <v>274</v>
      </c>
      <c r="D255" s="8" t="s">
        <v>275</v>
      </c>
      <c r="E255" s="8" t="s">
        <v>1095</v>
      </c>
      <c r="F255" s="8" t="s">
        <v>1096</v>
      </c>
      <c r="G255" s="8" t="n">
        <v>123</v>
      </c>
      <c r="H255" s="8" t="s">
        <v>1072</v>
      </c>
      <c r="I255" s="8"/>
      <c r="J255" s="8"/>
      <c r="K255" s="8" t="s">
        <v>20</v>
      </c>
      <c r="L255" s="8"/>
      <c r="M255" s="9" t="n">
        <v>65</v>
      </c>
      <c r="N255" s="10" t="s">
        <v>1097</v>
      </c>
      <c r="O255" s="8" t="n">
        <v>30</v>
      </c>
    </row>
    <row r="256" customFormat="false" ht="15" hidden="false" customHeight="false" outlineLevel="0" collapsed="false">
      <c r="A256" s="8" t="s">
        <v>1098</v>
      </c>
      <c r="B256" s="8" t="s">
        <v>1005</v>
      </c>
      <c r="C256" s="8" t="s">
        <v>158</v>
      </c>
      <c r="D256" s="8" t="s">
        <v>283</v>
      </c>
      <c r="E256" s="8" t="s">
        <v>1099</v>
      </c>
      <c r="F256" s="8" t="s">
        <v>1100</v>
      </c>
      <c r="G256" s="8" t="n">
        <v>94</v>
      </c>
      <c r="H256" s="8" t="s">
        <v>1101</v>
      </c>
      <c r="I256" s="8"/>
      <c r="J256" s="8"/>
      <c r="K256" s="8" t="s">
        <v>188</v>
      </c>
      <c r="L256" s="8"/>
      <c r="M256" s="9" t="n">
        <v>9.5</v>
      </c>
      <c r="N256" s="10" t="s">
        <v>1102</v>
      </c>
      <c r="O256" s="8" t="n">
        <v>31</v>
      </c>
    </row>
    <row r="257" customFormat="false" ht="15" hidden="false" customHeight="false" outlineLevel="0" collapsed="false">
      <c r="A257" s="8" t="s">
        <v>1103</v>
      </c>
      <c r="B257" s="8" t="s">
        <v>1005</v>
      </c>
      <c r="C257" s="8" t="s">
        <v>158</v>
      </c>
      <c r="D257" s="8" t="s">
        <v>283</v>
      </c>
      <c r="E257" s="8" t="s">
        <v>1104</v>
      </c>
      <c r="F257" s="8" t="s">
        <v>1105</v>
      </c>
      <c r="G257" s="8" t="n">
        <v>60</v>
      </c>
      <c r="H257" s="8" t="s">
        <v>1106</v>
      </c>
      <c r="I257" s="8"/>
      <c r="J257" s="8"/>
      <c r="K257" s="8" t="s">
        <v>163</v>
      </c>
      <c r="L257" s="8"/>
      <c r="M257" s="9" t="n">
        <v>12.5</v>
      </c>
      <c r="N257" s="10" t="s">
        <v>1107</v>
      </c>
      <c r="O257" s="8" t="n">
        <v>31</v>
      </c>
    </row>
    <row r="258" customFormat="false" ht="15" hidden="false" customHeight="false" outlineLevel="0" collapsed="false">
      <c r="A258" s="8" t="s">
        <v>1108</v>
      </c>
      <c r="B258" s="8" t="s">
        <v>1005</v>
      </c>
      <c r="C258" s="8" t="s">
        <v>336</v>
      </c>
      <c r="D258" s="8" t="s">
        <v>1109</v>
      </c>
      <c r="E258" s="8" t="s">
        <v>1110</v>
      </c>
      <c r="F258" s="8" t="s">
        <v>1111</v>
      </c>
      <c r="G258" s="8" t="n">
        <v>109</v>
      </c>
      <c r="H258" s="8" t="s">
        <v>1112</v>
      </c>
      <c r="I258" s="8"/>
      <c r="J258" s="8"/>
      <c r="K258" s="8" t="s">
        <v>188</v>
      </c>
      <c r="L258" s="8"/>
      <c r="M258" s="9" t="n">
        <v>12.5</v>
      </c>
      <c r="N258" s="10" t="s">
        <v>1113</v>
      </c>
      <c r="O258" s="8" t="n">
        <v>31</v>
      </c>
    </row>
    <row r="259" customFormat="false" ht="15" hidden="false" customHeight="false" outlineLevel="0" collapsed="false">
      <c r="A259" s="8" t="s">
        <v>1114</v>
      </c>
      <c r="B259" s="8" t="s">
        <v>1005</v>
      </c>
      <c r="C259" s="8" t="s">
        <v>319</v>
      </c>
      <c r="D259" s="8" t="s">
        <v>98</v>
      </c>
      <c r="E259" s="8" t="s">
        <v>1115</v>
      </c>
      <c r="F259" s="8" t="s">
        <v>1116</v>
      </c>
      <c r="G259" s="8"/>
      <c r="H259" s="8" t="s">
        <v>1117</v>
      </c>
      <c r="I259" s="8"/>
      <c r="J259" s="8"/>
      <c r="K259" s="8" t="s">
        <v>193</v>
      </c>
      <c r="L259" s="8"/>
      <c r="M259" s="9" t="n">
        <v>45</v>
      </c>
      <c r="N259" s="10" t="s">
        <v>1118</v>
      </c>
      <c r="O259" s="8" t="n">
        <v>31</v>
      </c>
    </row>
    <row r="260" customFormat="false" ht="23.85" hidden="false" customHeight="false" outlineLevel="0" collapsed="false">
      <c r="A260" s="5" t="s">
        <v>1119</v>
      </c>
      <c r="B260" s="5" t="s">
        <v>410</v>
      </c>
      <c r="C260" s="5" t="s">
        <v>1120</v>
      </c>
      <c r="D260" s="5" t="s">
        <v>1005</v>
      </c>
      <c r="E260" s="5" t="s">
        <v>1121</v>
      </c>
      <c r="F260" s="5"/>
      <c r="G260" s="5"/>
      <c r="H260" s="5"/>
      <c r="I260" s="5"/>
      <c r="J260" s="5"/>
      <c r="K260" s="5" t="s">
        <v>193</v>
      </c>
      <c r="L260" s="5"/>
      <c r="M260" s="6" t="n">
        <v>17</v>
      </c>
      <c r="N260" s="7" t="s">
        <v>1122</v>
      </c>
      <c r="O260" s="5" t="n">
        <v>31</v>
      </c>
    </row>
    <row r="261" customFormat="false" ht="15" hidden="false" customHeight="false" outlineLevel="0" collapsed="false">
      <c r="A261" s="8" t="s">
        <v>1123</v>
      </c>
      <c r="B261" s="8" t="s">
        <v>1005</v>
      </c>
      <c r="C261" s="8" t="s">
        <v>424</v>
      </c>
      <c r="D261" s="8" t="s">
        <v>386</v>
      </c>
      <c r="E261" s="8" t="s">
        <v>1124</v>
      </c>
      <c r="F261" s="8" t="s">
        <v>1125</v>
      </c>
      <c r="G261" s="8"/>
      <c r="H261" s="8"/>
      <c r="I261" s="8" t="n">
        <v>867</v>
      </c>
      <c r="J261" s="8" t="n">
        <v>10</v>
      </c>
      <c r="K261" s="8" t="s">
        <v>188</v>
      </c>
      <c r="L261" s="8"/>
      <c r="M261" s="9" t="n">
        <v>11</v>
      </c>
      <c r="N261" s="10" t="s">
        <v>1126</v>
      </c>
      <c r="O261" s="8" t="n">
        <v>32</v>
      </c>
    </row>
    <row r="262" customFormat="false" ht="15" hidden="false" customHeight="false" outlineLevel="0" collapsed="false">
      <c r="A262" s="8" t="s">
        <v>1127</v>
      </c>
      <c r="B262" s="8" t="s">
        <v>1005</v>
      </c>
      <c r="C262" s="8" t="s">
        <v>424</v>
      </c>
      <c r="D262" s="8" t="s">
        <v>386</v>
      </c>
      <c r="E262" s="8" t="s">
        <v>1128</v>
      </c>
      <c r="F262" s="8" t="s">
        <v>1129</v>
      </c>
      <c r="G262" s="8"/>
      <c r="H262" s="8"/>
      <c r="I262" s="8" t="n">
        <v>370</v>
      </c>
      <c r="J262" s="8" t="n">
        <v>22.5</v>
      </c>
      <c r="K262" s="8" t="s">
        <v>163</v>
      </c>
      <c r="L262" s="8"/>
      <c r="M262" s="9" t="n">
        <v>19</v>
      </c>
      <c r="N262" s="10" t="s">
        <v>1130</v>
      </c>
      <c r="O262" s="8" t="n">
        <v>32</v>
      </c>
    </row>
    <row r="263" customFormat="false" ht="15" hidden="false" customHeight="false" outlineLevel="0" collapsed="false">
      <c r="A263" s="8" t="s">
        <v>1131</v>
      </c>
      <c r="B263" s="8" t="s">
        <v>1005</v>
      </c>
      <c r="C263" s="8" t="s">
        <v>424</v>
      </c>
      <c r="D263" s="8" t="s">
        <v>386</v>
      </c>
      <c r="E263" s="8" t="s">
        <v>1132</v>
      </c>
      <c r="F263" s="8" t="s">
        <v>1133</v>
      </c>
      <c r="G263" s="8"/>
      <c r="H263" s="8"/>
      <c r="I263" s="8" t="n">
        <v>430</v>
      </c>
      <c r="J263" s="8" t="n">
        <v>22.5</v>
      </c>
      <c r="K263" s="8" t="s">
        <v>163</v>
      </c>
      <c r="L263" s="8"/>
      <c r="M263" s="9" t="n">
        <v>19</v>
      </c>
      <c r="N263" s="10" t="s">
        <v>1134</v>
      </c>
      <c r="O263" s="8" t="n">
        <v>32</v>
      </c>
    </row>
    <row r="264" customFormat="false" ht="15" hidden="false" customHeight="false" outlineLevel="0" collapsed="false">
      <c r="A264" s="8" t="s">
        <v>1135</v>
      </c>
      <c r="B264" s="8" t="s">
        <v>1005</v>
      </c>
      <c r="C264" s="8" t="s">
        <v>424</v>
      </c>
      <c r="D264" s="8" t="s">
        <v>386</v>
      </c>
      <c r="E264" s="8" t="s">
        <v>1136</v>
      </c>
      <c r="F264" s="8" t="s">
        <v>1137</v>
      </c>
      <c r="G264" s="8"/>
      <c r="H264" s="8"/>
      <c r="I264" s="8" t="n">
        <v>490</v>
      </c>
      <c r="J264" s="8" t="n">
        <v>22.5</v>
      </c>
      <c r="K264" s="8" t="s">
        <v>163</v>
      </c>
      <c r="L264" s="8"/>
      <c r="M264" s="9" t="n">
        <v>19</v>
      </c>
      <c r="N264" s="10" t="s">
        <v>1138</v>
      </c>
      <c r="O264" s="8" t="n">
        <v>32</v>
      </c>
    </row>
    <row r="265" customFormat="false" ht="15" hidden="false" customHeight="false" outlineLevel="0" collapsed="false">
      <c r="A265" s="8" t="s">
        <v>1139</v>
      </c>
      <c r="B265" s="8" t="s">
        <v>1005</v>
      </c>
      <c r="C265" s="8" t="s">
        <v>424</v>
      </c>
      <c r="D265" s="8" t="s">
        <v>386</v>
      </c>
      <c r="E265" s="8" t="s">
        <v>1140</v>
      </c>
      <c r="F265" s="8" t="s">
        <v>1141</v>
      </c>
      <c r="G265" s="8"/>
      <c r="H265" s="8"/>
      <c r="I265" s="8" t="n">
        <v>550</v>
      </c>
      <c r="J265" s="8" t="n">
        <v>22.5</v>
      </c>
      <c r="K265" s="8" t="s">
        <v>163</v>
      </c>
      <c r="L265" s="8"/>
      <c r="M265" s="9" t="n">
        <v>19</v>
      </c>
      <c r="N265" s="10" t="s">
        <v>1142</v>
      </c>
      <c r="O265" s="8" t="n">
        <v>32</v>
      </c>
    </row>
    <row r="266" customFormat="false" ht="15" hidden="false" customHeight="false" outlineLevel="0" collapsed="false">
      <c r="A266" s="8" t="s">
        <v>1143</v>
      </c>
      <c r="B266" s="8" t="s">
        <v>1005</v>
      </c>
      <c r="C266" s="8" t="s">
        <v>424</v>
      </c>
      <c r="D266" s="8" t="s">
        <v>386</v>
      </c>
      <c r="E266" s="8" t="s">
        <v>1144</v>
      </c>
      <c r="F266" s="8" t="s">
        <v>1145</v>
      </c>
      <c r="G266" s="8"/>
      <c r="H266" s="8"/>
      <c r="I266" s="8" t="n">
        <v>610</v>
      </c>
      <c r="J266" s="8" t="n">
        <v>22.5</v>
      </c>
      <c r="K266" s="8" t="s">
        <v>163</v>
      </c>
      <c r="L266" s="8"/>
      <c r="M266" s="9" t="n">
        <v>19</v>
      </c>
      <c r="N266" s="10" t="s">
        <v>1146</v>
      </c>
      <c r="O266" s="8" t="n">
        <v>32</v>
      </c>
    </row>
    <row r="267" customFormat="false" ht="15" hidden="false" customHeight="false" outlineLevel="0" collapsed="false">
      <c r="A267" s="8" t="s">
        <v>1147</v>
      </c>
      <c r="B267" s="8" t="s">
        <v>1005</v>
      </c>
      <c r="C267" s="8" t="s">
        <v>424</v>
      </c>
      <c r="D267" s="8" t="s">
        <v>386</v>
      </c>
      <c r="E267" s="8" t="s">
        <v>1148</v>
      </c>
      <c r="F267" s="8" t="s">
        <v>1149</v>
      </c>
      <c r="G267" s="8"/>
      <c r="H267" s="8"/>
      <c r="I267" s="8" t="n">
        <v>670</v>
      </c>
      <c r="J267" s="8" t="n">
        <v>22.5</v>
      </c>
      <c r="K267" s="8" t="s">
        <v>163</v>
      </c>
      <c r="L267" s="8"/>
      <c r="M267" s="9" t="n">
        <v>21</v>
      </c>
      <c r="N267" s="10" t="s">
        <v>1150</v>
      </c>
      <c r="O267" s="8" t="n">
        <v>32</v>
      </c>
    </row>
    <row r="268" customFormat="false" ht="15" hidden="false" customHeight="false" outlineLevel="0" collapsed="false">
      <c r="A268" s="8" t="s">
        <v>1151</v>
      </c>
      <c r="B268" s="8" t="s">
        <v>1005</v>
      </c>
      <c r="C268" s="8" t="s">
        <v>424</v>
      </c>
      <c r="D268" s="8" t="s">
        <v>386</v>
      </c>
      <c r="E268" s="8" t="s">
        <v>1152</v>
      </c>
      <c r="F268" s="8" t="s">
        <v>1153</v>
      </c>
      <c r="G268" s="8"/>
      <c r="H268" s="8"/>
      <c r="I268" s="8" t="n">
        <v>730</v>
      </c>
      <c r="J268" s="8" t="n">
        <v>22.5</v>
      </c>
      <c r="K268" s="8" t="s">
        <v>163</v>
      </c>
      <c r="L268" s="8"/>
      <c r="M268" s="9" t="n">
        <v>25</v>
      </c>
      <c r="N268" s="10" t="s">
        <v>1154</v>
      </c>
      <c r="O268" s="8" t="n">
        <v>32</v>
      </c>
    </row>
    <row r="269" customFormat="false" ht="15" hidden="false" customHeight="false" outlineLevel="0" collapsed="false">
      <c r="A269" s="8" t="s">
        <v>1155</v>
      </c>
      <c r="B269" s="8" t="s">
        <v>1005</v>
      </c>
      <c r="C269" s="8" t="s">
        <v>424</v>
      </c>
      <c r="D269" s="8" t="s">
        <v>386</v>
      </c>
      <c r="E269" s="8" t="s">
        <v>1156</v>
      </c>
      <c r="F269" s="8" t="s">
        <v>1157</v>
      </c>
      <c r="G269" s="8"/>
      <c r="H269" s="8"/>
      <c r="I269" s="8" t="n">
        <v>790</v>
      </c>
      <c r="J269" s="8" t="n">
        <v>22.5</v>
      </c>
      <c r="K269" s="8" t="s">
        <v>163</v>
      </c>
      <c r="L269" s="8"/>
      <c r="M269" s="9" t="n">
        <v>24</v>
      </c>
      <c r="N269" s="10" t="s">
        <v>1158</v>
      </c>
      <c r="O269" s="8" t="n">
        <v>32</v>
      </c>
    </row>
    <row r="270" customFormat="false" ht="15" hidden="false" customHeight="false" outlineLevel="0" collapsed="false">
      <c r="A270" s="8" t="s">
        <v>1159</v>
      </c>
      <c r="B270" s="8" t="s">
        <v>1005</v>
      </c>
      <c r="C270" s="8" t="s">
        <v>364</v>
      </c>
      <c r="D270" s="8" t="s">
        <v>573</v>
      </c>
      <c r="E270" s="8" t="s">
        <v>1160</v>
      </c>
      <c r="F270" s="8" t="s">
        <v>1161</v>
      </c>
      <c r="G270" s="8" t="n">
        <v>60</v>
      </c>
      <c r="H270" s="8" t="s">
        <v>1106</v>
      </c>
      <c r="I270" s="8"/>
      <c r="J270" s="8" t="n">
        <v>90</v>
      </c>
      <c r="K270" s="8" t="s">
        <v>193</v>
      </c>
      <c r="L270" s="8"/>
      <c r="M270" s="9" t="n">
        <v>22</v>
      </c>
      <c r="N270" s="10" t="s">
        <v>1162</v>
      </c>
      <c r="O270" s="8" t="n">
        <v>32</v>
      </c>
    </row>
    <row r="271" customFormat="false" ht="15" hidden="false" customHeight="false" outlineLevel="0" collapsed="false">
      <c r="A271" s="8" t="s">
        <v>1163</v>
      </c>
      <c r="B271" s="8" t="s">
        <v>1005</v>
      </c>
      <c r="C271" s="8" t="s">
        <v>158</v>
      </c>
      <c r="D271" s="8" t="s">
        <v>1164</v>
      </c>
      <c r="E271" s="8" t="s">
        <v>1165</v>
      </c>
      <c r="F271" s="8" t="s">
        <v>1166</v>
      </c>
      <c r="G271" s="8" t="n">
        <v>369</v>
      </c>
      <c r="H271" s="8" t="s">
        <v>1167</v>
      </c>
      <c r="I271" s="8"/>
      <c r="J271" s="8"/>
      <c r="K271" s="8" t="s">
        <v>163</v>
      </c>
      <c r="L271" s="8"/>
      <c r="M271" s="9" t="n">
        <v>19.5</v>
      </c>
      <c r="N271" s="10" t="s">
        <v>1168</v>
      </c>
      <c r="O271" s="8" t="n">
        <v>33</v>
      </c>
    </row>
    <row r="272" customFormat="false" ht="15" hidden="false" customHeight="false" outlineLevel="0" collapsed="false">
      <c r="A272" s="8" t="s">
        <v>1169</v>
      </c>
      <c r="B272" s="8" t="s">
        <v>1005</v>
      </c>
      <c r="C272" s="8" t="s">
        <v>158</v>
      </c>
      <c r="D272" s="8" t="s">
        <v>1170</v>
      </c>
      <c r="E272" s="8" t="s">
        <v>1171</v>
      </c>
      <c r="F272" s="8" t="s">
        <v>1172</v>
      </c>
      <c r="G272" s="8" t="n">
        <v>246</v>
      </c>
      <c r="H272" s="8" t="s">
        <v>1173</v>
      </c>
      <c r="I272" s="8"/>
      <c r="J272" s="8"/>
      <c r="K272" s="8" t="s">
        <v>163</v>
      </c>
      <c r="L272" s="8"/>
      <c r="M272" s="9" t="n">
        <v>14.5</v>
      </c>
      <c r="N272" s="10" t="s">
        <v>1174</v>
      </c>
      <c r="O272" s="8" t="n">
        <v>33</v>
      </c>
    </row>
    <row r="273" customFormat="false" ht="15" hidden="false" customHeight="false" outlineLevel="0" collapsed="false">
      <c r="A273" s="8" t="s">
        <v>1175</v>
      </c>
      <c r="B273" s="8" t="s">
        <v>1005</v>
      </c>
      <c r="C273" s="8" t="s">
        <v>298</v>
      </c>
      <c r="D273" s="8" t="s">
        <v>1176</v>
      </c>
      <c r="E273" s="8" t="s">
        <v>1177</v>
      </c>
      <c r="F273" s="8" t="s">
        <v>1178</v>
      </c>
      <c r="G273" s="8" t="n">
        <v>246</v>
      </c>
      <c r="H273" s="8" t="s">
        <v>162</v>
      </c>
      <c r="I273" s="8"/>
      <c r="J273" s="8"/>
      <c r="K273" s="8" t="s">
        <v>193</v>
      </c>
      <c r="L273" s="8"/>
      <c r="M273" s="9" t="n">
        <v>19</v>
      </c>
      <c r="N273" s="10" t="s">
        <v>1179</v>
      </c>
      <c r="O273" s="8" t="n">
        <v>33</v>
      </c>
    </row>
    <row r="274" customFormat="false" ht="15" hidden="false" customHeight="false" outlineLevel="0" collapsed="false">
      <c r="A274" s="8" t="s">
        <v>1180</v>
      </c>
      <c r="B274" s="8" t="s">
        <v>1005</v>
      </c>
      <c r="C274" s="8" t="s">
        <v>158</v>
      </c>
      <c r="D274" s="8" t="s">
        <v>1170</v>
      </c>
      <c r="E274" s="8" t="s">
        <v>1181</v>
      </c>
      <c r="F274" s="8" t="s">
        <v>1182</v>
      </c>
      <c r="G274" s="8" t="n">
        <v>123</v>
      </c>
      <c r="H274" s="8" t="s">
        <v>178</v>
      </c>
      <c r="I274" s="8"/>
      <c r="J274" s="8"/>
      <c r="K274" s="8" t="s">
        <v>163</v>
      </c>
      <c r="L274" s="8"/>
      <c r="M274" s="9" t="n">
        <v>14</v>
      </c>
      <c r="N274" s="10" t="s">
        <v>1183</v>
      </c>
      <c r="O274" s="8" t="n">
        <v>33</v>
      </c>
    </row>
    <row r="275" customFormat="false" ht="23.85" hidden="false" customHeight="false" outlineLevel="0" collapsed="false">
      <c r="A275" s="8" t="s">
        <v>1184</v>
      </c>
      <c r="B275" s="8" t="s">
        <v>1005</v>
      </c>
      <c r="C275" s="8" t="s">
        <v>424</v>
      </c>
      <c r="D275" s="8" t="s">
        <v>1185</v>
      </c>
      <c r="E275" s="8" t="s">
        <v>1186</v>
      </c>
      <c r="F275" s="8"/>
      <c r="G275" s="8"/>
      <c r="H275" s="8"/>
      <c r="I275" s="8" t="n">
        <v>1606</v>
      </c>
      <c r="J275" s="8" t="n">
        <v>11.25</v>
      </c>
      <c r="K275" s="8" t="s">
        <v>193</v>
      </c>
      <c r="L275" s="8"/>
      <c r="M275" s="9" t="n">
        <v>25</v>
      </c>
      <c r="N275" s="10" t="s">
        <v>1187</v>
      </c>
      <c r="O275" s="8" t="n">
        <v>33</v>
      </c>
    </row>
    <row r="276" customFormat="false" ht="15" hidden="false" customHeight="false" outlineLevel="0" collapsed="false">
      <c r="A276" s="8" t="s">
        <v>1188</v>
      </c>
      <c r="B276" s="8" t="s">
        <v>1005</v>
      </c>
      <c r="C276" s="8" t="s">
        <v>424</v>
      </c>
      <c r="D276" s="8" t="s">
        <v>1185</v>
      </c>
      <c r="E276" s="8" t="s">
        <v>1189</v>
      </c>
      <c r="F276" s="8"/>
      <c r="G276" s="8"/>
      <c r="H276" s="8"/>
      <c r="I276" s="8" t="n">
        <v>1546</v>
      </c>
      <c r="J276" s="8" t="n">
        <v>11.25</v>
      </c>
      <c r="K276" s="8" t="s">
        <v>193</v>
      </c>
      <c r="L276" s="8"/>
      <c r="M276" s="9" t="n">
        <v>25</v>
      </c>
      <c r="N276" s="10" t="s">
        <v>1190</v>
      </c>
      <c r="O276" s="8" t="n">
        <v>33</v>
      </c>
    </row>
    <row r="277" customFormat="false" ht="15" hidden="false" customHeight="false" outlineLevel="0" collapsed="false">
      <c r="A277" s="8" t="s">
        <v>1191</v>
      </c>
      <c r="B277" s="8" t="s">
        <v>1005</v>
      </c>
      <c r="C277" s="8" t="s">
        <v>424</v>
      </c>
      <c r="D277" s="8" t="s">
        <v>1192</v>
      </c>
      <c r="E277" s="8" t="s">
        <v>1193</v>
      </c>
      <c r="F277" s="8"/>
      <c r="G277" s="8"/>
      <c r="H277" s="8"/>
      <c r="I277" s="8" t="n">
        <v>790</v>
      </c>
      <c r="J277" s="8" t="n">
        <v>22.5</v>
      </c>
      <c r="K277" s="8" t="s">
        <v>163</v>
      </c>
      <c r="L277" s="8"/>
      <c r="M277" s="9" t="n">
        <v>18</v>
      </c>
      <c r="N277" s="10" t="s">
        <v>1194</v>
      </c>
      <c r="O277" s="8" t="n">
        <v>33</v>
      </c>
    </row>
    <row r="278" customFormat="false" ht="15" hidden="false" customHeight="false" outlineLevel="0" collapsed="false">
      <c r="A278" s="8" t="s">
        <v>1195</v>
      </c>
      <c r="B278" s="8" t="s">
        <v>1005</v>
      </c>
      <c r="C278" s="8" t="s">
        <v>424</v>
      </c>
      <c r="D278" s="8" t="s">
        <v>1196</v>
      </c>
      <c r="E278" s="8" t="s">
        <v>1197</v>
      </c>
      <c r="F278" s="8"/>
      <c r="G278" s="8"/>
      <c r="H278" s="8"/>
      <c r="I278" s="8" t="n">
        <v>790</v>
      </c>
      <c r="J278" s="8" t="n">
        <v>22.5</v>
      </c>
      <c r="K278" s="8" t="s">
        <v>679</v>
      </c>
      <c r="L278" s="8"/>
      <c r="M278" s="9" t="n">
        <v>19.5</v>
      </c>
      <c r="N278" s="10" t="s">
        <v>1198</v>
      </c>
      <c r="O278" s="8" t="n">
        <v>33</v>
      </c>
    </row>
    <row r="279" customFormat="false" ht="15" hidden="false" customHeight="false" outlineLevel="0" collapsed="false">
      <c r="A279" s="8" t="s">
        <v>1199</v>
      </c>
      <c r="B279" s="8" t="s">
        <v>1005</v>
      </c>
      <c r="C279" s="8" t="s">
        <v>424</v>
      </c>
      <c r="D279" s="8" t="s">
        <v>1192</v>
      </c>
      <c r="E279" s="8" t="s">
        <v>1200</v>
      </c>
      <c r="F279" s="8"/>
      <c r="G279" s="8"/>
      <c r="H279" s="8"/>
      <c r="I279" s="8" t="n">
        <v>730</v>
      </c>
      <c r="J279" s="8" t="n">
        <v>22.5</v>
      </c>
      <c r="K279" s="8" t="s">
        <v>163</v>
      </c>
      <c r="L279" s="8"/>
      <c r="M279" s="9" t="n">
        <v>17.5</v>
      </c>
      <c r="N279" s="10" t="s">
        <v>1201</v>
      </c>
      <c r="O279" s="8" t="n">
        <v>33</v>
      </c>
    </row>
    <row r="280" customFormat="false" ht="15" hidden="false" customHeight="false" outlineLevel="0" collapsed="false">
      <c r="A280" s="8" t="s">
        <v>1202</v>
      </c>
      <c r="B280" s="8" t="s">
        <v>1005</v>
      </c>
      <c r="C280" s="8" t="s">
        <v>424</v>
      </c>
      <c r="D280" s="8" t="s">
        <v>1196</v>
      </c>
      <c r="E280" s="8" t="s">
        <v>1203</v>
      </c>
      <c r="F280" s="8"/>
      <c r="G280" s="8"/>
      <c r="H280" s="8"/>
      <c r="I280" s="8" t="n">
        <v>730</v>
      </c>
      <c r="J280" s="8" t="n">
        <v>22.5</v>
      </c>
      <c r="K280" s="8" t="s">
        <v>679</v>
      </c>
      <c r="L280" s="8"/>
      <c r="M280" s="9" t="n">
        <v>18</v>
      </c>
      <c r="N280" s="10" t="s">
        <v>1204</v>
      </c>
      <c r="O280" s="8" t="n">
        <v>33</v>
      </c>
    </row>
    <row r="281" customFormat="false" ht="15" hidden="false" customHeight="false" outlineLevel="0" collapsed="false">
      <c r="A281" s="8" t="s">
        <v>1205</v>
      </c>
      <c r="B281" s="8" t="s">
        <v>1005</v>
      </c>
      <c r="C281" s="8" t="s">
        <v>783</v>
      </c>
      <c r="D281" s="8" t="s">
        <v>789</v>
      </c>
      <c r="E281" s="8" t="s">
        <v>1206</v>
      </c>
      <c r="F281" s="8"/>
      <c r="G281" s="8" t="n">
        <v>900</v>
      </c>
      <c r="H281" s="8" t="s">
        <v>1207</v>
      </c>
      <c r="I281" s="8"/>
      <c r="J281" s="8"/>
      <c r="K281" s="8" t="s">
        <v>193</v>
      </c>
      <c r="L281" s="8"/>
      <c r="M281" s="9" t="n">
        <v>13</v>
      </c>
      <c r="N281" s="10" t="s">
        <v>1208</v>
      </c>
      <c r="O281" s="8" t="n">
        <v>33</v>
      </c>
    </row>
    <row r="282" customFormat="false" ht="15" hidden="false" customHeight="false" outlineLevel="0" collapsed="false">
      <c r="A282" s="8" t="s">
        <v>1209</v>
      </c>
      <c r="B282" s="8" t="s">
        <v>1005</v>
      </c>
      <c r="C282" s="8" t="s">
        <v>404</v>
      </c>
      <c r="D282" s="8" t="s">
        <v>796</v>
      </c>
      <c r="E282" s="8" t="s">
        <v>1210</v>
      </c>
      <c r="F282" s="8"/>
      <c r="G282" s="8"/>
      <c r="H282" s="8"/>
      <c r="I282" s="8"/>
      <c r="J282" s="8"/>
      <c r="K282" s="8" t="s">
        <v>188</v>
      </c>
      <c r="L282" s="8"/>
      <c r="M282" s="9" t="n">
        <v>10</v>
      </c>
      <c r="N282" s="10" t="s">
        <v>1211</v>
      </c>
      <c r="O282" s="8" t="n">
        <v>33</v>
      </c>
    </row>
    <row r="283" customFormat="false" ht="15" hidden="false" customHeight="false" outlineLevel="0" collapsed="false">
      <c r="A283" s="8" t="s">
        <v>1212</v>
      </c>
      <c r="B283" s="8" t="s">
        <v>1005</v>
      </c>
      <c r="C283" s="8" t="s">
        <v>796</v>
      </c>
      <c r="D283" s="8" t="s">
        <v>808</v>
      </c>
      <c r="E283" s="8" t="s">
        <v>1213</v>
      </c>
      <c r="F283" s="8"/>
      <c r="G283" s="8" t="n">
        <v>900</v>
      </c>
      <c r="H283" s="8" t="s">
        <v>1207</v>
      </c>
      <c r="I283" s="8"/>
      <c r="J283" s="8"/>
      <c r="K283" s="8" t="s">
        <v>193</v>
      </c>
      <c r="L283" s="8"/>
      <c r="M283" s="9" t="n">
        <v>20</v>
      </c>
      <c r="N283" s="10" t="s">
        <v>1214</v>
      </c>
      <c r="O283" s="8" t="n">
        <v>33</v>
      </c>
    </row>
    <row r="284" customFormat="false" ht="23.85" hidden="false" customHeight="false" outlineLevel="0" collapsed="false">
      <c r="A284" s="8" t="s">
        <v>1215</v>
      </c>
      <c r="B284" s="8" t="s">
        <v>1005</v>
      </c>
      <c r="C284" s="8" t="s">
        <v>543</v>
      </c>
      <c r="D284" s="8" t="s">
        <v>1216</v>
      </c>
      <c r="E284" s="8" t="s">
        <v>1217</v>
      </c>
      <c r="F284" s="8" t="s">
        <v>1218</v>
      </c>
      <c r="G284" s="8"/>
      <c r="H284" s="8"/>
      <c r="I284" s="8" t="n">
        <v>867</v>
      </c>
      <c r="J284" s="8"/>
      <c r="K284" s="8" t="s">
        <v>193</v>
      </c>
      <c r="L284" s="8"/>
      <c r="M284" s="9" t="n">
        <v>50</v>
      </c>
      <c r="N284" s="10" t="s">
        <v>1219</v>
      </c>
      <c r="O284" s="8" t="n">
        <v>34</v>
      </c>
    </row>
    <row r="285" customFormat="false" ht="15" hidden="false" customHeight="false" outlineLevel="0" collapsed="false">
      <c r="A285" s="8" t="s">
        <v>1220</v>
      </c>
      <c r="B285" s="8" t="s">
        <v>1005</v>
      </c>
      <c r="C285" s="8" t="s">
        <v>543</v>
      </c>
      <c r="D285" s="8" t="s">
        <v>1216</v>
      </c>
      <c r="E285" s="8" t="s">
        <v>1221</v>
      </c>
      <c r="F285" s="8" t="s">
        <v>1222</v>
      </c>
      <c r="G285" s="8"/>
      <c r="H285" s="8"/>
      <c r="I285" s="8" t="n">
        <v>867</v>
      </c>
      <c r="J285" s="8"/>
      <c r="K285" s="8" t="s">
        <v>193</v>
      </c>
      <c r="L285" s="8"/>
      <c r="M285" s="9" t="n">
        <v>50</v>
      </c>
      <c r="N285" s="10" t="s">
        <v>1223</v>
      </c>
      <c r="O285" s="8" t="n">
        <v>34</v>
      </c>
    </row>
    <row r="286" customFormat="false" ht="23.85" hidden="false" customHeight="false" outlineLevel="0" collapsed="false">
      <c r="A286" s="8" t="s">
        <v>1224</v>
      </c>
      <c r="B286" s="8" t="s">
        <v>1005</v>
      </c>
      <c r="C286" s="8" t="s">
        <v>543</v>
      </c>
      <c r="D286" s="8" t="s">
        <v>1225</v>
      </c>
      <c r="E286" s="8" t="s">
        <v>1226</v>
      </c>
      <c r="F286" s="8" t="s">
        <v>1227</v>
      </c>
      <c r="G286" s="8"/>
      <c r="H286" s="8"/>
      <c r="I286" s="8" t="n">
        <v>550</v>
      </c>
      <c r="J286" s="8"/>
      <c r="K286" s="8" t="s">
        <v>193</v>
      </c>
      <c r="L286" s="8"/>
      <c r="M286" s="9" t="n">
        <v>65</v>
      </c>
      <c r="N286" s="10" t="s">
        <v>1228</v>
      </c>
      <c r="O286" s="8" t="n">
        <v>34</v>
      </c>
    </row>
    <row r="287" customFormat="false" ht="15" hidden="false" customHeight="false" outlineLevel="0" collapsed="false">
      <c r="A287" s="8" t="s">
        <v>1229</v>
      </c>
      <c r="B287" s="8" t="s">
        <v>1005</v>
      </c>
      <c r="C287" s="8" t="s">
        <v>543</v>
      </c>
      <c r="D287" s="8" t="s">
        <v>1225</v>
      </c>
      <c r="E287" s="8" t="s">
        <v>1230</v>
      </c>
      <c r="F287" s="8" t="s">
        <v>1231</v>
      </c>
      <c r="G287" s="8"/>
      <c r="H287" s="8"/>
      <c r="I287" s="8" t="n">
        <v>550</v>
      </c>
      <c r="J287" s="8"/>
      <c r="K287" s="8" t="s">
        <v>193</v>
      </c>
      <c r="L287" s="8"/>
      <c r="M287" s="9" t="n">
        <v>65</v>
      </c>
      <c r="N287" s="10" t="s">
        <v>1232</v>
      </c>
      <c r="O287" s="8" t="n">
        <v>34</v>
      </c>
    </row>
    <row r="288" customFormat="false" ht="15" hidden="false" customHeight="false" outlineLevel="0" collapsed="false">
      <c r="A288" s="8" t="s">
        <v>1233</v>
      </c>
      <c r="B288" s="8" t="s">
        <v>1005</v>
      </c>
      <c r="C288" s="8" t="s">
        <v>543</v>
      </c>
      <c r="D288" s="8" t="s">
        <v>1225</v>
      </c>
      <c r="E288" s="8" t="s">
        <v>1234</v>
      </c>
      <c r="F288" s="8" t="s">
        <v>1235</v>
      </c>
      <c r="G288" s="8" t="n">
        <v>246</v>
      </c>
      <c r="H288" s="8" t="s">
        <v>162</v>
      </c>
      <c r="I288" s="8" t="n">
        <v>490</v>
      </c>
      <c r="J288" s="8" t="n">
        <v>22.5</v>
      </c>
      <c r="K288" s="8" t="s">
        <v>193</v>
      </c>
      <c r="L288" s="8"/>
      <c r="M288" s="9" t="n">
        <v>40</v>
      </c>
      <c r="N288" s="10" t="s">
        <v>1236</v>
      </c>
      <c r="O288" s="8" t="n">
        <v>34</v>
      </c>
    </row>
    <row r="289" customFormat="false" ht="15" hidden="false" customHeight="false" outlineLevel="0" collapsed="false">
      <c r="A289" s="8" t="s">
        <v>1237</v>
      </c>
      <c r="B289" s="8" t="s">
        <v>1005</v>
      </c>
      <c r="C289" s="8" t="s">
        <v>543</v>
      </c>
      <c r="D289" s="8" t="s">
        <v>1225</v>
      </c>
      <c r="E289" s="8" t="s">
        <v>1238</v>
      </c>
      <c r="F289" s="8" t="s">
        <v>1239</v>
      </c>
      <c r="G289" s="8" t="n">
        <v>246</v>
      </c>
      <c r="H289" s="8" t="s">
        <v>162</v>
      </c>
      <c r="I289" s="8" t="n">
        <v>490</v>
      </c>
      <c r="J289" s="8" t="n">
        <v>22.5</v>
      </c>
      <c r="K289" s="8" t="s">
        <v>193</v>
      </c>
      <c r="L289" s="8"/>
      <c r="M289" s="9" t="n">
        <v>40</v>
      </c>
      <c r="N289" s="10" t="s">
        <v>1240</v>
      </c>
      <c r="O289" s="8" t="n">
        <v>34</v>
      </c>
    </row>
    <row r="290" customFormat="false" ht="23.85" hidden="false" customHeight="false" outlineLevel="0" collapsed="false">
      <c r="A290" s="8" t="s">
        <v>1241</v>
      </c>
      <c r="B290" s="8" t="s">
        <v>1005</v>
      </c>
      <c r="C290" s="8" t="s">
        <v>543</v>
      </c>
      <c r="D290" s="8" t="s">
        <v>544</v>
      </c>
      <c r="E290" s="8" t="s">
        <v>1242</v>
      </c>
      <c r="F290" s="8" t="s">
        <v>1243</v>
      </c>
      <c r="G290" s="8" t="n">
        <v>492</v>
      </c>
      <c r="H290" s="8" t="s">
        <v>1244</v>
      </c>
      <c r="I290" s="8" t="n">
        <v>867</v>
      </c>
      <c r="J290" s="8"/>
      <c r="K290" s="8" t="s">
        <v>193</v>
      </c>
      <c r="L290" s="8"/>
      <c r="M290" s="9" t="n">
        <v>70</v>
      </c>
      <c r="N290" s="10" t="s">
        <v>1245</v>
      </c>
      <c r="O290" s="8" t="n">
        <v>34</v>
      </c>
    </row>
    <row r="291" customFormat="false" ht="15" hidden="false" customHeight="false" outlineLevel="0" collapsed="false">
      <c r="A291" s="8" t="s">
        <v>1246</v>
      </c>
      <c r="B291" s="8" t="s">
        <v>1005</v>
      </c>
      <c r="C291" s="8" t="s">
        <v>543</v>
      </c>
      <c r="D291" s="8" t="s">
        <v>544</v>
      </c>
      <c r="E291" s="8" t="s">
        <v>1247</v>
      </c>
      <c r="F291" s="8" t="s">
        <v>1248</v>
      </c>
      <c r="G291" s="8" t="n">
        <v>492</v>
      </c>
      <c r="H291" s="8" t="s">
        <v>1244</v>
      </c>
      <c r="I291" s="8" t="n">
        <v>867</v>
      </c>
      <c r="J291" s="8"/>
      <c r="K291" s="8" t="s">
        <v>193</v>
      </c>
      <c r="L291" s="8"/>
      <c r="M291" s="9" t="n">
        <v>70</v>
      </c>
      <c r="N291" s="10" t="s">
        <v>1249</v>
      </c>
      <c r="O291" s="8" t="n">
        <v>34</v>
      </c>
    </row>
    <row r="292" customFormat="false" ht="15" hidden="false" customHeight="false" outlineLevel="0" collapsed="false">
      <c r="A292" s="8" t="s">
        <v>1250</v>
      </c>
      <c r="B292" s="8" t="s">
        <v>1005</v>
      </c>
      <c r="C292" s="8" t="s">
        <v>543</v>
      </c>
      <c r="D292" s="8" t="s">
        <v>1251</v>
      </c>
      <c r="E292" s="8" t="s">
        <v>1252</v>
      </c>
      <c r="F292" s="8"/>
      <c r="G292" s="8"/>
      <c r="H292" s="8"/>
      <c r="I292" s="8"/>
      <c r="J292" s="8"/>
      <c r="K292" s="8" t="s">
        <v>193</v>
      </c>
      <c r="L292" s="8"/>
      <c r="M292" s="9" t="n">
        <v>13.5</v>
      </c>
      <c r="N292" s="10" t="s">
        <v>1253</v>
      </c>
      <c r="O292" s="8" t="n">
        <v>34</v>
      </c>
    </row>
    <row r="293" customFormat="false" ht="15" hidden="false" customHeight="false" outlineLevel="0" collapsed="false">
      <c r="A293" s="8" t="s">
        <v>1254</v>
      </c>
      <c r="B293" s="8" t="s">
        <v>1005</v>
      </c>
      <c r="C293" s="8" t="s">
        <v>543</v>
      </c>
      <c r="D293" s="8" t="s">
        <v>1251</v>
      </c>
      <c r="E293" s="8" t="s">
        <v>1255</v>
      </c>
      <c r="F293" s="8"/>
      <c r="G293" s="8"/>
      <c r="H293" s="8"/>
      <c r="I293" s="8"/>
      <c r="J293" s="8"/>
      <c r="K293" s="8" t="s">
        <v>193</v>
      </c>
      <c r="L293" s="8"/>
      <c r="M293" s="9" t="n">
        <v>13.5</v>
      </c>
      <c r="N293" s="10" t="s">
        <v>1256</v>
      </c>
      <c r="O293" s="8" t="n">
        <v>34</v>
      </c>
    </row>
    <row r="294" customFormat="false" ht="23.85" hidden="false" customHeight="false" outlineLevel="0" collapsed="false">
      <c r="A294" s="8" t="s">
        <v>1257</v>
      </c>
      <c r="B294" s="8" t="s">
        <v>1005</v>
      </c>
      <c r="C294" s="8" t="s">
        <v>970</v>
      </c>
      <c r="D294" s="8" t="s">
        <v>567</v>
      </c>
      <c r="E294" s="8" t="s">
        <v>1258</v>
      </c>
      <c r="F294" s="8"/>
      <c r="G294" s="8"/>
      <c r="H294" s="8"/>
      <c r="I294" s="8"/>
      <c r="J294" s="8"/>
      <c r="K294" s="8" t="s">
        <v>977</v>
      </c>
      <c r="L294" s="8"/>
      <c r="M294" s="9" t="n">
        <v>22</v>
      </c>
      <c r="N294" s="10" t="s">
        <v>1259</v>
      </c>
      <c r="O294" s="8" t="n">
        <v>35</v>
      </c>
    </row>
    <row r="295" customFormat="false" ht="15" hidden="false" customHeight="false" outlineLevel="0" collapsed="false">
      <c r="A295" s="8" t="s">
        <v>1260</v>
      </c>
      <c r="B295" s="8" t="s">
        <v>1005</v>
      </c>
      <c r="C295" s="8" t="s">
        <v>970</v>
      </c>
      <c r="D295" s="8" t="s">
        <v>159</v>
      </c>
      <c r="E295" s="8" t="s">
        <v>1261</v>
      </c>
      <c r="F295" s="8"/>
      <c r="G295" s="8"/>
      <c r="H295" s="8"/>
      <c r="I295" s="8"/>
      <c r="J295" s="8"/>
      <c r="K295" s="8" t="s">
        <v>822</v>
      </c>
      <c r="L295" s="8"/>
      <c r="M295" s="9" t="n">
        <v>18</v>
      </c>
      <c r="N295" s="10" t="s">
        <v>1262</v>
      </c>
      <c r="O295" s="8" t="n">
        <v>35</v>
      </c>
    </row>
    <row r="296" customFormat="false" ht="23.85" hidden="false" customHeight="false" outlineLevel="0" collapsed="false">
      <c r="A296" s="8" t="s">
        <v>1263</v>
      </c>
      <c r="B296" s="8" t="s">
        <v>1005</v>
      </c>
      <c r="C296" s="8" t="s">
        <v>970</v>
      </c>
      <c r="D296" s="8" t="s">
        <v>1264</v>
      </c>
      <c r="E296" s="8" t="s">
        <v>1265</v>
      </c>
      <c r="F296" s="8"/>
      <c r="G296" s="8"/>
      <c r="H296" s="8"/>
      <c r="I296" s="8"/>
      <c r="J296" s="8"/>
      <c r="K296" s="8" t="s">
        <v>977</v>
      </c>
      <c r="L296" s="8"/>
      <c r="M296" s="9" t="n">
        <v>30</v>
      </c>
      <c r="N296" s="10" t="s">
        <v>1266</v>
      </c>
      <c r="O296" s="8" t="n">
        <v>35</v>
      </c>
    </row>
    <row r="297" customFormat="false" ht="15" hidden="false" customHeight="false" outlineLevel="0" collapsed="false">
      <c r="A297" s="8" t="s">
        <v>1267</v>
      </c>
      <c r="B297" s="8" t="s">
        <v>1005</v>
      </c>
      <c r="C297" s="8" t="s">
        <v>970</v>
      </c>
      <c r="D297" s="8" t="s">
        <v>1268</v>
      </c>
      <c r="E297" s="8" t="s">
        <v>1269</v>
      </c>
      <c r="F297" s="8"/>
      <c r="G297" s="8"/>
      <c r="H297" s="8"/>
      <c r="I297" s="8"/>
      <c r="J297" s="8"/>
      <c r="K297" s="8" t="s">
        <v>822</v>
      </c>
      <c r="L297" s="8"/>
      <c r="M297" s="9" t="n">
        <v>18</v>
      </c>
      <c r="N297" s="10" t="s">
        <v>1270</v>
      </c>
      <c r="O297" s="8" t="n">
        <v>35</v>
      </c>
    </row>
    <row r="298" customFormat="false" ht="15" hidden="false" customHeight="false" outlineLevel="0" collapsed="false">
      <c r="A298" s="8" t="s">
        <v>1271</v>
      </c>
      <c r="B298" s="8" t="s">
        <v>1005</v>
      </c>
      <c r="C298" s="8" t="s">
        <v>1272</v>
      </c>
      <c r="D298" s="8" t="s">
        <v>1075</v>
      </c>
      <c r="E298" s="8" t="s">
        <v>1273</v>
      </c>
      <c r="F298" s="8"/>
      <c r="G298" s="8"/>
      <c r="H298" s="8"/>
      <c r="I298" s="8"/>
      <c r="J298" s="8"/>
      <c r="K298" s="8" t="s">
        <v>193</v>
      </c>
      <c r="L298" s="8"/>
      <c r="M298" s="9" t="n">
        <v>7.5</v>
      </c>
      <c r="N298" s="10" t="s">
        <v>1274</v>
      </c>
      <c r="O298" s="8" t="n">
        <v>35</v>
      </c>
    </row>
    <row r="299" customFormat="false" ht="23.85" hidden="false" customHeight="false" outlineLevel="0" collapsed="false">
      <c r="A299" s="5" t="s">
        <v>1275</v>
      </c>
      <c r="B299" s="5" t="s">
        <v>410</v>
      </c>
      <c r="C299" s="5" t="s">
        <v>404</v>
      </c>
      <c r="D299" s="5" t="s">
        <v>1276</v>
      </c>
      <c r="E299" s="5" t="s">
        <v>1276</v>
      </c>
      <c r="F299" s="5"/>
      <c r="G299" s="5"/>
      <c r="H299" s="5"/>
      <c r="I299" s="5"/>
      <c r="J299" s="5"/>
      <c r="K299" s="5" t="s">
        <v>407</v>
      </c>
      <c r="L299" s="5"/>
      <c r="M299" s="6" t="n">
        <v>6.5</v>
      </c>
      <c r="N299" s="7" t="s">
        <v>1277</v>
      </c>
      <c r="O299" s="5" t="n">
        <v>36</v>
      </c>
    </row>
    <row r="300" customFormat="false" ht="15" hidden="false" customHeight="false" outlineLevel="0" collapsed="false">
      <c r="A300" s="5" t="s">
        <v>1278</v>
      </c>
      <c r="B300" s="5" t="s">
        <v>410</v>
      </c>
      <c r="C300" s="5" t="s">
        <v>404</v>
      </c>
      <c r="D300" s="5" t="s">
        <v>1279</v>
      </c>
      <c r="E300" s="5" t="s">
        <v>1279</v>
      </c>
      <c r="F300" s="5"/>
      <c r="G300" s="5"/>
      <c r="H300" s="5"/>
      <c r="I300" s="5"/>
      <c r="J300" s="5"/>
      <c r="K300" s="5" t="s">
        <v>407</v>
      </c>
      <c r="L300" s="5"/>
      <c r="M300" s="6" t="n">
        <v>6.5</v>
      </c>
      <c r="N300" s="7" t="s">
        <v>1280</v>
      </c>
      <c r="O300" s="5" t="n">
        <v>36</v>
      </c>
    </row>
    <row r="301" customFormat="false" ht="23.85" hidden="false" customHeight="false" outlineLevel="0" collapsed="false">
      <c r="A301" s="5" t="s">
        <v>1281</v>
      </c>
      <c r="B301" s="5" t="s">
        <v>410</v>
      </c>
      <c r="C301" s="5" t="s">
        <v>404</v>
      </c>
      <c r="D301" s="5" t="s">
        <v>1282</v>
      </c>
      <c r="E301" s="5" t="s">
        <v>1282</v>
      </c>
      <c r="F301" s="5"/>
      <c r="G301" s="5"/>
      <c r="H301" s="5"/>
      <c r="I301" s="5"/>
      <c r="J301" s="5"/>
      <c r="K301" s="5" t="s">
        <v>407</v>
      </c>
      <c r="L301" s="5"/>
      <c r="M301" s="6" t="n">
        <v>6.5</v>
      </c>
      <c r="N301" s="7" t="s">
        <v>1283</v>
      </c>
      <c r="O301" s="5" t="n">
        <v>36</v>
      </c>
    </row>
    <row r="302" customFormat="false" ht="15" hidden="false" customHeight="false" outlineLevel="0" collapsed="false">
      <c r="A302" s="5" t="s">
        <v>1284</v>
      </c>
      <c r="B302" s="5" t="s">
        <v>410</v>
      </c>
      <c r="C302" s="5" t="s">
        <v>404</v>
      </c>
      <c r="D302" s="5" t="s">
        <v>1285</v>
      </c>
      <c r="E302" s="5" t="s">
        <v>1286</v>
      </c>
      <c r="F302" s="5"/>
      <c r="G302" s="5"/>
      <c r="H302" s="5"/>
      <c r="I302" s="5"/>
      <c r="J302" s="5"/>
      <c r="K302" s="5" t="s">
        <v>407</v>
      </c>
      <c r="L302" s="5"/>
      <c r="M302" s="6" t="n">
        <v>6.5</v>
      </c>
      <c r="N302" s="7" t="s">
        <v>1287</v>
      </c>
      <c r="O302" s="5" t="n">
        <v>36</v>
      </c>
    </row>
    <row r="303" customFormat="false" ht="23.85" hidden="false" customHeight="false" outlineLevel="0" collapsed="false">
      <c r="A303" s="5" t="s">
        <v>1288</v>
      </c>
      <c r="B303" s="5" t="s">
        <v>410</v>
      </c>
      <c r="C303" s="5" t="s">
        <v>404</v>
      </c>
      <c r="D303" s="5" t="s">
        <v>1289</v>
      </c>
      <c r="E303" s="5" t="s">
        <v>1290</v>
      </c>
      <c r="F303" s="5"/>
      <c r="G303" s="5"/>
      <c r="H303" s="5"/>
      <c r="I303" s="5"/>
      <c r="J303" s="5"/>
      <c r="K303" s="5" t="s">
        <v>1291</v>
      </c>
      <c r="L303" s="5"/>
      <c r="M303" s="6" t="n">
        <v>5</v>
      </c>
      <c r="N303" s="7" t="s">
        <v>1292</v>
      </c>
      <c r="O303" s="5" t="n">
        <v>36</v>
      </c>
    </row>
    <row r="304" customFormat="false" ht="15" hidden="false" customHeight="false" outlineLevel="0" collapsed="false">
      <c r="A304" s="5" t="s">
        <v>1293</v>
      </c>
      <c r="B304" s="5" t="s">
        <v>410</v>
      </c>
      <c r="C304" s="5" t="s">
        <v>372</v>
      </c>
      <c r="D304" s="5" t="s">
        <v>804</v>
      </c>
      <c r="E304" s="5" t="s">
        <v>1294</v>
      </c>
      <c r="F304" s="5"/>
      <c r="G304" s="5" t="n">
        <v>900</v>
      </c>
      <c r="H304" s="5" t="s">
        <v>967</v>
      </c>
      <c r="I304" s="5"/>
      <c r="J304" s="5"/>
      <c r="K304" s="5" t="s">
        <v>193</v>
      </c>
      <c r="L304" s="5"/>
      <c r="M304" s="6" t="n">
        <v>4</v>
      </c>
      <c r="N304" s="7" t="s">
        <v>1295</v>
      </c>
      <c r="O304" s="5" t="n">
        <v>36</v>
      </c>
    </row>
    <row r="305" customFormat="false" ht="15" hidden="false" customHeight="false" outlineLevel="0" collapsed="false">
      <c r="A305" s="5" t="s">
        <v>1296</v>
      </c>
      <c r="B305" s="5" t="s">
        <v>410</v>
      </c>
      <c r="C305" s="5" t="s">
        <v>372</v>
      </c>
      <c r="D305" s="5" t="s">
        <v>1297</v>
      </c>
      <c r="E305" s="5" t="s">
        <v>1298</v>
      </c>
      <c r="F305" s="5"/>
      <c r="G305" s="5"/>
      <c r="H305" s="5"/>
      <c r="I305" s="5"/>
      <c r="J305" s="5"/>
      <c r="K305" s="5" t="s">
        <v>188</v>
      </c>
      <c r="L305" s="5"/>
      <c r="M305" s="6" t="n">
        <v>10</v>
      </c>
      <c r="N305" s="7" t="s">
        <v>1299</v>
      </c>
      <c r="O305" s="5" t="n">
        <v>36</v>
      </c>
    </row>
    <row r="306" customFormat="false" ht="15" hidden="false" customHeight="false" outlineLevel="0" collapsed="false">
      <c r="A306" s="5" t="s">
        <v>1300</v>
      </c>
      <c r="B306" s="5" t="s">
        <v>410</v>
      </c>
      <c r="C306" s="5" t="s">
        <v>372</v>
      </c>
      <c r="D306" s="5" t="s">
        <v>1301</v>
      </c>
      <c r="E306" s="5" t="s">
        <v>1302</v>
      </c>
      <c r="F306" s="5"/>
      <c r="G306" s="5" t="n">
        <v>2000</v>
      </c>
      <c r="H306" s="5" t="s">
        <v>1303</v>
      </c>
      <c r="I306" s="5"/>
      <c r="J306" s="5"/>
      <c r="K306" s="5" t="s">
        <v>193</v>
      </c>
      <c r="L306" s="5"/>
      <c r="M306" s="6" t="n">
        <v>6</v>
      </c>
      <c r="N306" s="7" t="s">
        <v>1304</v>
      </c>
      <c r="O306" s="5" t="n">
        <v>36</v>
      </c>
    </row>
    <row r="307" customFormat="false" ht="15" hidden="false" customHeight="false" outlineLevel="0" collapsed="false">
      <c r="A307" s="5" t="s">
        <v>1305</v>
      </c>
      <c r="B307" s="5" t="s">
        <v>410</v>
      </c>
      <c r="C307" s="5" t="s">
        <v>372</v>
      </c>
      <c r="D307" s="5" t="s">
        <v>1306</v>
      </c>
      <c r="E307" s="5" t="s">
        <v>1307</v>
      </c>
      <c r="F307" s="5"/>
      <c r="G307" s="5" t="n">
        <v>900</v>
      </c>
      <c r="H307" s="5" t="s">
        <v>967</v>
      </c>
      <c r="I307" s="5"/>
      <c r="J307" s="5"/>
      <c r="K307" s="5" t="s">
        <v>193</v>
      </c>
      <c r="L307" s="5"/>
      <c r="M307" s="6" t="n">
        <v>4</v>
      </c>
      <c r="N307" s="7" t="s">
        <v>1308</v>
      </c>
      <c r="O307" s="5" t="n">
        <v>36</v>
      </c>
    </row>
    <row r="308" customFormat="false" ht="15" hidden="false" customHeight="false" outlineLevel="0" collapsed="false">
      <c r="A308" s="5" t="s">
        <v>1309</v>
      </c>
      <c r="B308" s="5" t="s">
        <v>410</v>
      </c>
      <c r="C308" s="5" t="s">
        <v>372</v>
      </c>
      <c r="D308" s="5" t="s">
        <v>1310</v>
      </c>
      <c r="E308" s="5" t="s">
        <v>1311</v>
      </c>
      <c r="F308" s="5"/>
      <c r="G308" s="5" t="n">
        <v>300</v>
      </c>
      <c r="H308" s="5" t="s">
        <v>1312</v>
      </c>
      <c r="I308" s="5"/>
      <c r="J308" s="5"/>
      <c r="K308" s="5" t="s">
        <v>193</v>
      </c>
      <c r="L308" s="5"/>
      <c r="M308" s="6" t="n">
        <v>8</v>
      </c>
      <c r="N308" s="7" t="s">
        <v>1313</v>
      </c>
      <c r="O308" s="5" t="n">
        <v>36</v>
      </c>
    </row>
    <row r="309" customFormat="false" ht="15" hidden="false" customHeight="false" outlineLevel="0" collapsed="false">
      <c r="A309" s="5" t="s">
        <v>1314</v>
      </c>
      <c r="B309" s="5" t="s">
        <v>410</v>
      </c>
      <c r="C309" s="5" t="s">
        <v>372</v>
      </c>
      <c r="D309" s="5" t="s">
        <v>1315</v>
      </c>
      <c r="E309" s="5" t="s">
        <v>1316</v>
      </c>
      <c r="F309" s="5"/>
      <c r="G309" s="5" t="n">
        <v>300</v>
      </c>
      <c r="H309" s="5" t="s">
        <v>1312</v>
      </c>
      <c r="I309" s="5"/>
      <c r="J309" s="5"/>
      <c r="K309" s="5" t="s">
        <v>193</v>
      </c>
      <c r="L309" s="5"/>
      <c r="M309" s="6" t="n">
        <v>12</v>
      </c>
      <c r="N309" s="7" t="s">
        <v>1317</v>
      </c>
      <c r="O309" s="5" t="n">
        <v>36</v>
      </c>
    </row>
    <row r="310" customFormat="false" ht="15" hidden="false" customHeight="false" outlineLevel="0" collapsed="false">
      <c r="A310" s="5" t="s">
        <v>1318</v>
      </c>
      <c r="B310" s="5" t="s">
        <v>410</v>
      </c>
      <c r="C310" s="5" t="s">
        <v>411</v>
      </c>
      <c r="D310" s="5" t="s">
        <v>1319</v>
      </c>
      <c r="E310" s="5" t="s">
        <v>1320</v>
      </c>
      <c r="F310" s="5"/>
      <c r="G310" s="5"/>
      <c r="H310" s="5"/>
      <c r="I310" s="5"/>
      <c r="J310" s="5"/>
      <c r="K310" s="5" t="s">
        <v>193</v>
      </c>
      <c r="L310" s="5"/>
      <c r="M310" s="6" t="n">
        <v>7</v>
      </c>
      <c r="N310" s="7" t="s">
        <v>1321</v>
      </c>
      <c r="O310" s="5" t="n">
        <v>36</v>
      </c>
    </row>
    <row r="311" customFormat="false" ht="15" hidden="false" customHeight="false" outlineLevel="0" collapsed="false">
      <c r="A311" s="5" t="s">
        <v>1322</v>
      </c>
      <c r="B311" s="5" t="s">
        <v>410</v>
      </c>
      <c r="C311" s="5" t="s">
        <v>372</v>
      </c>
      <c r="D311" s="5" t="s">
        <v>1323</v>
      </c>
      <c r="E311" s="5" t="s">
        <v>1324</v>
      </c>
      <c r="F311" s="5"/>
      <c r="G311" s="5" t="n">
        <v>900</v>
      </c>
      <c r="H311" s="5" t="s">
        <v>967</v>
      </c>
      <c r="I311" s="5"/>
      <c r="J311" s="5"/>
      <c r="K311" s="5" t="s">
        <v>193</v>
      </c>
      <c r="L311" s="5"/>
      <c r="M311" s="6" t="n">
        <v>3.5</v>
      </c>
      <c r="N311" s="7" t="s">
        <v>1325</v>
      </c>
      <c r="O311" s="5" t="n">
        <v>36</v>
      </c>
    </row>
    <row r="312" customFormat="false" ht="23.85" hidden="false" customHeight="false" outlineLevel="0" collapsed="false">
      <c r="A312" s="5" t="s">
        <v>1326</v>
      </c>
      <c r="B312" s="5" t="s">
        <v>410</v>
      </c>
      <c r="C312" s="5" t="s">
        <v>612</v>
      </c>
      <c r="D312" s="5" t="s">
        <v>1327</v>
      </c>
      <c r="E312" s="5" t="s">
        <v>1328</v>
      </c>
      <c r="F312" s="5"/>
      <c r="G312" s="5"/>
      <c r="H312" s="5"/>
      <c r="I312" s="5"/>
      <c r="J312" s="5"/>
      <c r="K312" s="5" t="s">
        <v>193</v>
      </c>
      <c r="L312" s="5" t="s">
        <v>234</v>
      </c>
      <c r="M312" s="6" t="n">
        <v>12</v>
      </c>
      <c r="N312" s="7" t="s">
        <v>1329</v>
      </c>
      <c r="O312" s="5" t="n">
        <v>36</v>
      </c>
    </row>
    <row r="313" customFormat="false" ht="15" hidden="false" customHeight="false" outlineLevel="0" collapsed="false">
      <c r="A313" s="5" t="s">
        <v>1330</v>
      </c>
      <c r="B313" s="5" t="s">
        <v>410</v>
      </c>
      <c r="C313" s="5" t="s">
        <v>372</v>
      </c>
      <c r="D313" s="5" t="s">
        <v>1331</v>
      </c>
      <c r="E313" s="5" t="s">
        <v>1332</v>
      </c>
      <c r="F313" s="5"/>
      <c r="G313" s="5" t="n">
        <v>900</v>
      </c>
      <c r="H313" s="5" t="s">
        <v>967</v>
      </c>
      <c r="I313" s="5"/>
      <c r="J313" s="5"/>
      <c r="K313" s="5" t="s">
        <v>193</v>
      </c>
      <c r="L313" s="5"/>
      <c r="M313" s="6" t="n">
        <v>4</v>
      </c>
      <c r="N313" s="7" t="s">
        <v>1333</v>
      </c>
      <c r="O313" s="5" t="n">
        <v>36</v>
      </c>
    </row>
    <row r="314" customFormat="false" ht="23.85" hidden="false" customHeight="false" outlineLevel="0" collapsed="false">
      <c r="A314" s="5" t="s">
        <v>1334</v>
      </c>
      <c r="B314" s="5" t="s">
        <v>410</v>
      </c>
      <c r="C314" s="5" t="s">
        <v>1075</v>
      </c>
      <c r="D314" s="5" t="s">
        <v>1335</v>
      </c>
      <c r="E314" s="5" t="s">
        <v>1336</v>
      </c>
      <c r="F314" s="5"/>
      <c r="G314" s="5"/>
      <c r="H314" s="5"/>
      <c r="I314" s="5"/>
      <c r="J314" s="5"/>
      <c r="K314" s="5" t="s">
        <v>193</v>
      </c>
      <c r="L314" s="5"/>
      <c r="M314" s="6" t="n">
        <v>5</v>
      </c>
      <c r="N314" s="7" t="s">
        <v>1337</v>
      </c>
      <c r="O314" s="5" t="n">
        <v>36</v>
      </c>
    </row>
    <row r="315" customFormat="false" ht="35.05" hidden="false" customHeight="false" outlineLevel="0" collapsed="false">
      <c r="A315" s="5" t="s">
        <v>1338</v>
      </c>
      <c r="B315" s="5" t="s">
        <v>410</v>
      </c>
      <c r="C315" s="5" t="s">
        <v>1339</v>
      </c>
      <c r="D315" s="5" t="s">
        <v>1340</v>
      </c>
      <c r="E315" s="5" t="s">
        <v>1341</v>
      </c>
      <c r="F315" s="5"/>
      <c r="G315" s="5"/>
      <c r="H315" s="5"/>
      <c r="I315" s="5"/>
      <c r="J315" s="5"/>
      <c r="K315" s="5" t="s">
        <v>193</v>
      </c>
      <c r="L315" s="5" t="s">
        <v>234</v>
      </c>
      <c r="M315" s="6" t="n">
        <v>80</v>
      </c>
      <c r="N315" s="7" t="s">
        <v>1342</v>
      </c>
      <c r="O315" s="5" t="n">
        <v>37</v>
      </c>
    </row>
    <row r="316" customFormat="false" ht="23.85" hidden="false" customHeight="false" outlineLevel="0" collapsed="false">
      <c r="A316" s="5" t="s">
        <v>1343</v>
      </c>
      <c r="B316" s="5" t="s">
        <v>410</v>
      </c>
      <c r="C316" s="5" t="s">
        <v>1344</v>
      </c>
      <c r="D316" s="5" t="s">
        <v>1345</v>
      </c>
      <c r="E316" s="5" t="s">
        <v>1346</v>
      </c>
      <c r="F316" s="5"/>
      <c r="G316" s="5"/>
      <c r="H316" s="5"/>
      <c r="I316" s="5"/>
      <c r="J316" s="5"/>
      <c r="K316" s="5" t="s">
        <v>193</v>
      </c>
      <c r="L316" s="5"/>
      <c r="M316" s="6" t="n">
        <v>25</v>
      </c>
      <c r="N316" s="7" t="s">
        <v>1347</v>
      </c>
      <c r="O316" s="5" t="n">
        <v>37</v>
      </c>
    </row>
    <row r="317" customFormat="false" ht="15" hidden="false" customHeight="false" outlineLevel="0" collapsed="false">
      <c r="A317" s="5" t="s">
        <v>1348</v>
      </c>
      <c r="B317" s="5" t="s">
        <v>410</v>
      </c>
      <c r="C317" s="5" t="s">
        <v>1344</v>
      </c>
      <c r="D317" s="5" t="s">
        <v>1349</v>
      </c>
      <c r="E317" s="5" t="s">
        <v>1350</v>
      </c>
      <c r="F317" s="5"/>
      <c r="G317" s="5"/>
      <c r="H317" s="5"/>
      <c r="I317" s="5"/>
      <c r="J317" s="5"/>
      <c r="K317" s="5" t="s">
        <v>193</v>
      </c>
      <c r="L317" s="5"/>
      <c r="M317" s="6" t="n">
        <v>28</v>
      </c>
      <c r="N317" s="7" t="s">
        <v>1351</v>
      </c>
      <c r="O317" s="5" t="n">
        <v>37</v>
      </c>
    </row>
    <row r="318" customFormat="false" ht="35.05" hidden="false" customHeight="false" outlineLevel="0" collapsed="false">
      <c r="A318" s="5" t="s">
        <v>1352</v>
      </c>
      <c r="B318" s="5" t="s">
        <v>410</v>
      </c>
      <c r="C318" s="5" t="s">
        <v>1344</v>
      </c>
      <c r="D318" s="5" t="s">
        <v>1353</v>
      </c>
      <c r="E318" s="5" t="s">
        <v>1354</v>
      </c>
      <c r="F318" s="5"/>
      <c r="G318" s="5"/>
      <c r="H318" s="5"/>
      <c r="I318" s="5"/>
      <c r="J318" s="5"/>
      <c r="K318" s="5" t="s">
        <v>193</v>
      </c>
      <c r="L318" s="5"/>
      <c r="M318" s="6" t="n">
        <v>40</v>
      </c>
      <c r="N318" s="7" t="s">
        <v>1355</v>
      </c>
      <c r="O318" s="5" t="n">
        <v>37</v>
      </c>
    </row>
    <row r="319" customFormat="false" ht="23.85" hidden="false" customHeight="false" outlineLevel="0" collapsed="false">
      <c r="A319" s="5" t="s">
        <v>1356</v>
      </c>
      <c r="B319" s="5" t="s">
        <v>410</v>
      </c>
      <c r="C319" s="5" t="s">
        <v>1357</v>
      </c>
      <c r="D319" s="5" t="s">
        <v>1358</v>
      </c>
      <c r="E319" s="5" t="s">
        <v>1359</v>
      </c>
      <c r="F319" s="5"/>
      <c r="G319" s="5"/>
      <c r="H319" s="5"/>
      <c r="I319" s="5"/>
      <c r="J319" s="5"/>
      <c r="K319" s="5" t="s">
        <v>193</v>
      </c>
      <c r="L319" s="5"/>
      <c r="M319" s="6" t="n">
        <v>315</v>
      </c>
      <c r="N319" s="7" t="s">
        <v>1360</v>
      </c>
      <c r="O319" s="5" t="n">
        <v>38</v>
      </c>
    </row>
    <row r="320" customFormat="false" ht="35.05" hidden="false" customHeight="false" outlineLevel="0" collapsed="false">
      <c r="A320" s="5" t="s">
        <v>1361</v>
      </c>
      <c r="B320" s="5" t="s">
        <v>410</v>
      </c>
      <c r="C320" s="5" t="s">
        <v>1362</v>
      </c>
      <c r="D320" s="5" t="s">
        <v>1363</v>
      </c>
      <c r="E320" s="5" t="s">
        <v>1364</v>
      </c>
      <c r="F320" s="5"/>
      <c r="G320" s="5"/>
      <c r="H320" s="5"/>
      <c r="I320" s="5"/>
      <c r="J320" s="5"/>
      <c r="K320" s="5" t="s">
        <v>193</v>
      </c>
      <c r="L320" s="5"/>
      <c r="M320" s="6" t="n">
        <v>170</v>
      </c>
      <c r="N320" s="7" t="s">
        <v>1365</v>
      </c>
      <c r="O320" s="5" t="n">
        <v>38</v>
      </c>
    </row>
    <row r="321" customFormat="false" ht="15" hidden="false" customHeight="false" outlineLevel="0" collapsed="false">
      <c r="A321" s="5" t="s">
        <v>1366</v>
      </c>
      <c r="B321" s="5" t="s">
        <v>410</v>
      </c>
      <c r="C321" s="5" t="s">
        <v>1367</v>
      </c>
      <c r="D321" s="5" t="s">
        <v>1368</v>
      </c>
      <c r="E321" s="5" t="s">
        <v>1369</v>
      </c>
      <c r="F321" s="5"/>
      <c r="G321" s="5"/>
      <c r="H321" s="5"/>
      <c r="I321" s="5"/>
      <c r="J321" s="5"/>
      <c r="K321" s="5" t="s">
        <v>1370</v>
      </c>
      <c r="L321" s="5"/>
      <c r="M321" s="6" t="n">
        <v>33</v>
      </c>
      <c r="N321" s="7" t="s">
        <v>1371</v>
      </c>
      <c r="O321" s="5" t="n">
        <v>38</v>
      </c>
    </row>
    <row r="322" customFormat="false" ht="15" hidden="false" customHeight="false" outlineLevel="0" collapsed="false">
      <c r="A322" s="5" t="s">
        <v>1372</v>
      </c>
      <c r="B322" s="5" t="s">
        <v>410</v>
      </c>
      <c r="C322" s="5" t="s">
        <v>1367</v>
      </c>
      <c r="D322" s="5" t="s">
        <v>1373</v>
      </c>
      <c r="E322" s="5" t="s">
        <v>1374</v>
      </c>
      <c r="F322" s="5"/>
      <c r="G322" s="5"/>
      <c r="H322" s="5"/>
      <c r="I322" s="5"/>
      <c r="J322" s="5"/>
      <c r="K322" s="5" t="s">
        <v>1370</v>
      </c>
      <c r="L322" s="5"/>
      <c r="M322" s="6" t="n">
        <v>33</v>
      </c>
      <c r="N322" s="7" t="s">
        <v>1375</v>
      </c>
      <c r="O322" s="5" t="n">
        <v>38</v>
      </c>
    </row>
    <row r="323" customFormat="false" ht="15" hidden="false" customHeight="false" outlineLevel="0" collapsed="false">
      <c r="A323" s="5" t="s">
        <v>1376</v>
      </c>
      <c r="B323" s="5" t="s">
        <v>410</v>
      </c>
      <c r="C323" s="5" t="s">
        <v>1367</v>
      </c>
      <c r="D323" s="5" t="s">
        <v>1368</v>
      </c>
      <c r="E323" s="5" t="s">
        <v>1377</v>
      </c>
      <c r="F323" s="5"/>
      <c r="G323" s="5"/>
      <c r="H323" s="5"/>
      <c r="I323" s="5"/>
      <c r="J323" s="5"/>
      <c r="K323" s="5" t="s">
        <v>1370</v>
      </c>
      <c r="L323" s="5"/>
      <c r="M323" s="6" t="n">
        <v>33</v>
      </c>
      <c r="N323" s="7" t="s">
        <v>1378</v>
      </c>
      <c r="O323" s="5" t="n">
        <v>38</v>
      </c>
    </row>
    <row r="324" customFormat="false" ht="15" hidden="false" customHeight="false" outlineLevel="0" collapsed="false">
      <c r="A324" s="5" t="s">
        <v>1379</v>
      </c>
      <c r="B324" s="5" t="s">
        <v>410</v>
      </c>
      <c r="C324" s="5" t="s">
        <v>1367</v>
      </c>
      <c r="D324" s="5" t="s">
        <v>1368</v>
      </c>
      <c r="E324" s="5" t="s">
        <v>1380</v>
      </c>
      <c r="F324" s="5"/>
      <c r="G324" s="5"/>
      <c r="H324" s="5"/>
      <c r="I324" s="5"/>
      <c r="J324" s="5"/>
      <c r="K324" s="5" t="s">
        <v>1370</v>
      </c>
      <c r="L324" s="5"/>
      <c r="M324" s="6" t="n">
        <v>33</v>
      </c>
      <c r="N324" s="7" t="s">
        <v>1381</v>
      </c>
      <c r="O324" s="5" t="n">
        <v>38</v>
      </c>
    </row>
    <row r="325" customFormat="false" ht="15" hidden="false" customHeight="false" outlineLevel="0" collapsed="false">
      <c r="A325" s="5" t="s">
        <v>1382</v>
      </c>
      <c r="B325" s="5" t="s">
        <v>410</v>
      </c>
      <c r="C325" s="5" t="s">
        <v>1367</v>
      </c>
      <c r="D325" s="5" t="s">
        <v>1373</v>
      </c>
      <c r="E325" s="5" t="s">
        <v>1383</v>
      </c>
      <c r="F325" s="5"/>
      <c r="G325" s="5"/>
      <c r="H325" s="5"/>
      <c r="I325" s="5"/>
      <c r="J325" s="5"/>
      <c r="K325" s="5" t="s">
        <v>1370</v>
      </c>
      <c r="L325" s="5"/>
      <c r="M325" s="6" t="n">
        <v>33</v>
      </c>
      <c r="N325" s="7" t="s">
        <v>1384</v>
      </c>
      <c r="O325" s="5" t="n">
        <v>38</v>
      </c>
    </row>
    <row r="326" customFormat="false" ht="15" hidden="false" customHeight="false" outlineLevel="0" collapsed="false">
      <c r="A326" s="5" t="s">
        <v>1385</v>
      </c>
      <c r="B326" s="5" t="s">
        <v>410</v>
      </c>
      <c r="C326" s="5" t="s">
        <v>1367</v>
      </c>
      <c r="D326" s="5" t="s">
        <v>1368</v>
      </c>
      <c r="E326" s="5" t="s">
        <v>1386</v>
      </c>
      <c r="F326" s="5"/>
      <c r="G326" s="5"/>
      <c r="H326" s="5"/>
      <c r="I326" s="5"/>
      <c r="J326" s="5"/>
      <c r="K326" s="5" t="s">
        <v>1370</v>
      </c>
      <c r="L326" s="5"/>
      <c r="M326" s="6" t="n">
        <v>33</v>
      </c>
      <c r="N326" s="7" t="s">
        <v>1387</v>
      </c>
      <c r="O326" s="5" t="n">
        <v>38</v>
      </c>
    </row>
    <row r="327" customFormat="false" ht="15" hidden="false" customHeight="false" outlineLevel="0" collapsed="false">
      <c r="A327" s="5" t="s">
        <v>1388</v>
      </c>
      <c r="B327" s="5" t="s">
        <v>410</v>
      </c>
      <c r="C327" s="5" t="s">
        <v>1367</v>
      </c>
      <c r="D327" s="5" t="s">
        <v>1368</v>
      </c>
      <c r="E327" s="5" t="s">
        <v>1389</v>
      </c>
      <c r="F327" s="5"/>
      <c r="G327" s="5"/>
      <c r="H327" s="5"/>
      <c r="I327" s="5"/>
      <c r="J327" s="5"/>
      <c r="K327" s="5" t="s">
        <v>1370</v>
      </c>
      <c r="L327" s="5"/>
      <c r="M327" s="6" t="n">
        <v>33</v>
      </c>
      <c r="N327" s="7" t="s">
        <v>1390</v>
      </c>
      <c r="O327" s="5" t="n">
        <v>38</v>
      </c>
    </row>
    <row r="328" customFormat="false" ht="15" hidden="false" customHeight="false" outlineLevel="0" collapsed="false">
      <c r="A328" s="5" t="s">
        <v>1391</v>
      </c>
      <c r="B328" s="5" t="s">
        <v>410</v>
      </c>
      <c r="C328" s="5" t="s">
        <v>1367</v>
      </c>
      <c r="D328" s="5" t="s">
        <v>593</v>
      </c>
      <c r="E328" s="5" t="s">
        <v>1392</v>
      </c>
      <c r="F328" s="5"/>
      <c r="G328" s="5"/>
      <c r="H328" s="5"/>
      <c r="I328" s="5"/>
      <c r="J328" s="5"/>
      <c r="K328" s="5" t="s">
        <v>1370</v>
      </c>
      <c r="L328" s="5"/>
      <c r="M328" s="6" t="n">
        <v>33</v>
      </c>
      <c r="N328" s="7" t="s">
        <v>1393</v>
      </c>
      <c r="O328" s="5" t="n">
        <v>38</v>
      </c>
    </row>
    <row r="329" customFormat="false" ht="15" hidden="false" customHeight="false" outlineLevel="0" collapsed="false">
      <c r="A329" s="5" t="s">
        <v>1394</v>
      </c>
      <c r="B329" s="5" t="s">
        <v>410</v>
      </c>
      <c r="C329" s="5" t="s">
        <v>1367</v>
      </c>
      <c r="D329" s="5" t="s">
        <v>1368</v>
      </c>
      <c r="E329" s="5" t="s">
        <v>1395</v>
      </c>
      <c r="F329" s="5"/>
      <c r="G329" s="5"/>
      <c r="H329" s="5"/>
      <c r="I329" s="5"/>
      <c r="J329" s="5"/>
      <c r="K329" s="5" t="s">
        <v>1370</v>
      </c>
      <c r="L329" s="5"/>
      <c r="M329" s="6" t="n">
        <v>33</v>
      </c>
      <c r="N329" s="7" t="s">
        <v>1396</v>
      </c>
      <c r="O329" s="5" t="n">
        <v>38</v>
      </c>
    </row>
    <row r="330" customFormat="false" ht="15" hidden="false" customHeight="false" outlineLevel="0" collapsed="false">
      <c r="A330" s="5" t="s">
        <v>1397</v>
      </c>
      <c r="B330" s="5" t="s">
        <v>410</v>
      </c>
      <c r="C330" s="5" t="s">
        <v>1367</v>
      </c>
      <c r="D330" s="5" t="s">
        <v>1373</v>
      </c>
      <c r="E330" s="5" t="s">
        <v>1398</v>
      </c>
      <c r="F330" s="5"/>
      <c r="G330" s="5"/>
      <c r="H330" s="5"/>
      <c r="I330" s="5"/>
      <c r="J330" s="5"/>
      <c r="K330" s="5" t="s">
        <v>1370</v>
      </c>
      <c r="L330" s="5"/>
      <c r="M330" s="6" t="n">
        <v>40</v>
      </c>
      <c r="N330" s="7" t="s">
        <v>1399</v>
      </c>
      <c r="O330" s="5" t="n">
        <v>38</v>
      </c>
    </row>
    <row r="331" customFormat="false" ht="15" hidden="false" customHeight="false" outlineLevel="0" collapsed="false">
      <c r="A331" s="5" t="s">
        <v>1400</v>
      </c>
      <c r="B331" s="5" t="s">
        <v>410</v>
      </c>
      <c r="C331" s="5" t="s">
        <v>1367</v>
      </c>
      <c r="D331" s="5" t="s">
        <v>18</v>
      </c>
      <c r="E331" s="5" t="s">
        <v>1401</v>
      </c>
      <c r="F331" s="5"/>
      <c r="G331" s="5"/>
      <c r="H331" s="5"/>
      <c r="I331" s="5"/>
      <c r="J331" s="5"/>
      <c r="K331" s="5" t="s">
        <v>1370</v>
      </c>
      <c r="L331" s="5"/>
      <c r="M331" s="6" t="n">
        <v>40</v>
      </c>
      <c r="N331" s="7" t="s">
        <v>1402</v>
      </c>
      <c r="O331" s="5" t="n">
        <v>38</v>
      </c>
    </row>
  </sheetData>
  <autoFilter ref="A1:O3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1" t="s">
        <v>1403</v>
      </c>
      <c r="B1" s="11"/>
      <c r="C1" s="11"/>
    </row>
    <row r="3" customFormat="false" ht="15" hidden="false" customHeight="false" outlineLevel="0" collapsed="false">
      <c r="A3" s="12" t="s">
        <v>1404</v>
      </c>
      <c r="B3" s="13" t="s">
        <v>1405</v>
      </c>
    </row>
    <row r="4" customFormat="false" ht="15" hidden="false" customHeight="false" outlineLevel="0" collapsed="false">
      <c r="A4" s="12" t="s">
        <v>1406</v>
      </c>
      <c r="B4" s="13" t="n">
        <f aca="false">COUNTA('Catálogo Completo'!A2:A331)</f>
        <v>330</v>
      </c>
    </row>
    <row r="5" customFormat="false" ht="15" hidden="false" customHeight="false" outlineLevel="0" collapsed="false">
      <c r="A5" s="12" t="s">
        <v>1407</v>
      </c>
      <c r="B5" s="13" t="n">
        <f aca="false">COUNTIF('Catálogo Completo'!B2:B331,"N")</f>
        <v>224</v>
      </c>
    </row>
    <row r="6" customFormat="false" ht="15" hidden="false" customHeight="false" outlineLevel="0" collapsed="false">
      <c r="A6" s="12" t="s">
        <v>1408</v>
      </c>
      <c r="B6" s="13" t="n">
        <f aca="false">COUNTIF('Catálogo Completo'!B2:B331,"HO")</f>
        <v>61</v>
      </c>
    </row>
    <row r="7" customFormat="false" ht="15" hidden="false" customHeight="false" outlineLevel="0" collapsed="false">
      <c r="A7" s="12" t="s">
        <v>1409</v>
      </c>
      <c r="B7" s="13" t="n">
        <f aca="false">COUNTIF('Catálogo Completo'!B2:B331,"Acc")</f>
        <v>45</v>
      </c>
    </row>
    <row r="8" customFormat="false" ht="15" hidden="false" customHeight="false" outlineLevel="0" collapsed="false">
      <c r="A8" s="12" t="s">
        <v>1410</v>
      </c>
      <c r="B8" s="14" t="n">
        <f aca="false">MIN('Catálogo Completo'!M2:M331)</f>
        <v>2</v>
      </c>
    </row>
    <row r="9" customFormat="false" ht="15" hidden="false" customHeight="false" outlineLevel="0" collapsed="false">
      <c r="A9" s="12" t="s">
        <v>1411</v>
      </c>
      <c r="B9" s="14" t="n">
        <f aca="false">MAX('Catálogo Completo'!M2:M331)</f>
        <v>420</v>
      </c>
    </row>
    <row r="10" customFormat="false" ht="15" hidden="false" customHeight="false" outlineLevel="0" collapsed="false">
      <c r="A10" s="12" t="s">
        <v>1412</v>
      </c>
      <c r="B10" s="14" t="n">
        <f aca="false">AVERAGE('Catálogo Completo'!M2:M331)</f>
        <v>51.7788753799392</v>
      </c>
    </row>
    <row r="11" customFormat="false" ht="15" hidden="false" customHeight="false" outlineLevel="0" collapsed="false">
      <c r="A11" s="12" t="s">
        <v>1413</v>
      </c>
      <c r="B11" s="14" t="n">
        <f aca="false">SUM('Catálogo Completo'!M2:M331)</f>
        <v>17035.25</v>
      </c>
    </row>
    <row r="14" customFormat="false" ht="15" hidden="false" customHeight="false" outlineLevel="0" collapsed="false">
      <c r="A14" s="15" t="s">
        <v>1414</v>
      </c>
      <c r="B14" s="15" t="s">
        <v>1415</v>
      </c>
      <c r="C14" s="15" t="s">
        <v>1416</v>
      </c>
    </row>
    <row r="15" customFormat="false" ht="15" hidden="false" customHeight="false" outlineLevel="0" collapsed="false">
      <c r="A15" s="16" t="s">
        <v>319</v>
      </c>
      <c r="B15" s="16" t="n">
        <f aca="false">COUNTIF('Catálogo Completo'!C2:C331,A15)</f>
        <v>5</v>
      </c>
      <c r="C15" s="17" t="n">
        <f aca="false">SUMIF('Catálogo Completo'!C2:C331,A15,'Catálogo Completo'!M2:M331)</f>
        <v>114.25</v>
      </c>
    </row>
    <row r="16" customFormat="false" ht="15" hidden="false" customHeight="false" outlineLevel="0" collapsed="false">
      <c r="A16" s="16" t="s">
        <v>210</v>
      </c>
      <c r="B16" s="16" t="n">
        <f aca="false">COUNTIF('Catálogo Completo'!C2:C331,A16)</f>
        <v>29</v>
      </c>
      <c r="C16" s="17" t="n">
        <f aca="false">SUMIF('Catálogo Completo'!C2:C331,A16,'Catálogo Completo'!M2:M331)</f>
        <v>484.5</v>
      </c>
    </row>
    <row r="17" customFormat="false" ht="15" hidden="false" customHeight="false" outlineLevel="0" collapsed="false">
      <c r="A17" s="16" t="s">
        <v>535</v>
      </c>
      <c r="B17" s="16" t="n">
        <f aca="false">COUNTIF('Catálogo Completo'!C2:C331,A17)</f>
        <v>2</v>
      </c>
      <c r="C17" s="17" t="n">
        <f aca="false">SUMIF('Catálogo Completo'!C2:C331,A17,'Catálogo Completo'!M2:M331)</f>
        <v>165</v>
      </c>
    </row>
    <row r="18" customFormat="false" ht="15" hidden="false" customHeight="false" outlineLevel="0" collapsed="false">
      <c r="A18" s="16" t="s">
        <v>621</v>
      </c>
      <c r="B18" s="16" t="n">
        <f aca="false">COUNTIF('Catálogo Completo'!C2:C331,A18)</f>
        <v>1</v>
      </c>
      <c r="C18" s="17" t="n">
        <f aca="false">SUMIF('Catálogo Completo'!C2:C331,A18,'Catálogo Completo'!M2:M331)</f>
        <v>59</v>
      </c>
    </row>
    <row r="19" customFormat="false" ht="15" hidden="false" customHeight="false" outlineLevel="0" collapsed="false">
      <c r="A19" s="16" t="s">
        <v>336</v>
      </c>
      <c r="B19" s="16" t="n">
        <f aca="false">COUNTIF('Catálogo Completo'!C2:C331,A19)</f>
        <v>7</v>
      </c>
      <c r="C19" s="17" t="n">
        <f aca="false">SUMIF('Catálogo Completo'!C2:C331,A19,'Catálogo Completo'!M2:M331)</f>
        <v>74.25</v>
      </c>
    </row>
    <row r="20" customFormat="false" ht="15" hidden="false" customHeight="false" outlineLevel="0" collapsed="false">
      <c r="A20" s="16" t="s">
        <v>372</v>
      </c>
      <c r="B20" s="16" t="n">
        <f aca="false">COUNTIF('Catálogo Completo'!C2:C331,A20)</f>
        <v>9</v>
      </c>
      <c r="C20" s="17" t="n">
        <f aca="false">SUMIF('Catálogo Completo'!C2:C331,A20,'Catálogo Completo'!M2:M331)</f>
        <v>55.5</v>
      </c>
    </row>
    <row r="21" customFormat="false" ht="15" hidden="false" customHeight="false" outlineLevel="0" collapsed="false">
      <c r="A21" s="16" t="s">
        <v>970</v>
      </c>
      <c r="B21" s="16" t="n">
        <f aca="false">COUNTIF('Catálogo Completo'!C2:C331,A21)</f>
        <v>12</v>
      </c>
      <c r="C21" s="17" t="n">
        <f aca="false">SUMIF('Catálogo Completo'!C2:C331,A21,'Catálogo Completo'!M2:M331)</f>
        <v>216.5</v>
      </c>
    </row>
    <row r="22" customFormat="false" ht="15" hidden="false" customHeight="false" outlineLevel="0" collapsed="false">
      <c r="A22" s="16" t="s">
        <v>829</v>
      </c>
      <c r="B22" s="16" t="n">
        <f aca="false">COUNTIF('Catálogo Completo'!C2:C331,A22)</f>
        <v>3</v>
      </c>
      <c r="C22" s="17" t="n">
        <f aca="false">SUMIF('Catálogo Completo'!C2:C331,A22,'Catálogo Completo'!M2:M331)</f>
        <v>197</v>
      </c>
    </row>
    <row r="23" customFormat="false" ht="15" hidden="false" customHeight="false" outlineLevel="0" collapsed="false">
      <c r="A23" s="16" t="s">
        <v>1362</v>
      </c>
      <c r="B23" s="16" t="n">
        <f aca="false">COUNTIF('Catálogo Completo'!C2:C331,A23)</f>
        <v>1</v>
      </c>
      <c r="C23" s="17" t="n">
        <f aca="false">SUMIF('Catálogo Completo'!C2:C331,A23,'Catálogo Completo'!M2:M331)</f>
        <v>170</v>
      </c>
    </row>
    <row r="24" customFormat="false" ht="15" hidden="false" customHeight="false" outlineLevel="0" collapsed="false">
      <c r="A24" s="16" t="s">
        <v>364</v>
      </c>
      <c r="B24" s="16" t="n">
        <f aca="false">COUNTIF('Catálogo Completo'!C2:C331,A24)</f>
        <v>7</v>
      </c>
      <c r="C24" s="17" t="n">
        <f aca="false">SUMIF('Catálogo Completo'!C2:C331,A24,'Catálogo Completo'!M2:M331)</f>
        <v>382.5</v>
      </c>
    </row>
    <row r="25" customFormat="false" ht="15" hidden="false" customHeight="false" outlineLevel="0" collapsed="false">
      <c r="A25" s="16" t="s">
        <v>566</v>
      </c>
      <c r="B25" s="16" t="n">
        <f aca="false">COUNTIF('Catálogo Completo'!C2:C331,A25)</f>
        <v>1</v>
      </c>
      <c r="C25" s="17" t="n">
        <f aca="false">SUMIF('Catálogo Completo'!C2:C331,A25,'Catálogo Completo'!M2:M331)</f>
        <v>75</v>
      </c>
    </row>
    <row r="26" customFormat="false" ht="15" hidden="false" customHeight="false" outlineLevel="0" collapsed="false">
      <c r="A26" s="16" t="s">
        <v>424</v>
      </c>
      <c r="B26" s="16" t="n">
        <f aca="false">COUNTIF('Catálogo Completo'!C2:C331,A26)</f>
        <v>37</v>
      </c>
      <c r="C26" s="17" t="n">
        <f aca="false">SUMIF('Catálogo Completo'!C2:C331,A26,'Catálogo Completo'!M2:M331)</f>
        <v>554</v>
      </c>
    </row>
    <row r="27" customFormat="false" ht="15" hidden="false" customHeight="false" outlineLevel="0" collapsed="false">
      <c r="A27" s="16" t="s">
        <v>127</v>
      </c>
      <c r="B27" s="16" t="n">
        <f aca="false">COUNTIF('Catálogo Completo'!C2:C331,A27)</f>
        <v>14</v>
      </c>
      <c r="C27" s="17" t="n">
        <f aca="false">SUMIF('Catálogo Completo'!C2:C331,A27,'Catálogo Completo'!M2:M331)</f>
        <v>205</v>
      </c>
    </row>
    <row r="28" customFormat="false" ht="15" hidden="false" customHeight="false" outlineLevel="0" collapsed="false">
      <c r="A28" s="16" t="s">
        <v>298</v>
      </c>
      <c r="B28" s="16" t="n">
        <f aca="false">COUNTIF('Catálogo Completo'!C2:C331,A28)</f>
        <v>4</v>
      </c>
      <c r="C28" s="17" t="n">
        <f aca="false">SUMIF('Catálogo Completo'!C2:C331,A28,'Catálogo Completo'!M2:M331)</f>
        <v>39.5</v>
      </c>
    </row>
    <row r="29" customFormat="false" ht="15" hidden="false" customHeight="false" outlineLevel="0" collapsed="false">
      <c r="A29" s="16" t="s">
        <v>783</v>
      </c>
      <c r="B29" s="16" t="n">
        <f aca="false">COUNTIF('Catálogo Completo'!C2:C331,A29)</f>
        <v>3</v>
      </c>
      <c r="C29" s="17" t="n">
        <f aca="false">SUMIF('Catálogo Completo'!C2:C331,A29,'Catálogo Completo'!M2:M331)</f>
        <v>26</v>
      </c>
    </row>
    <row r="30" customFormat="false" ht="15" hidden="false" customHeight="false" outlineLevel="0" collapsed="false">
      <c r="A30" s="16" t="s">
        <v>813</v>
      </c>
      <c r="B30" s="16" t="n">
        <f aca="false">COUNTIF('Catálogo Completo'!C2:C331,A30)</f>
        <v>1</v>
      </c>
      <c r="C30" s="17" t="n">
        <f aca="false">SUMIF('Catálogo Completo'!C2:C331,A30,'Catálogo Completo'!M2:M331)</f>
        <v>3.5</v>
      </c>
    </row>
    <row r="31" customFormat="false" ht="15" hidden="false" customHeight="false" outlineLevel="0" collapsed="false">
      <c r="A31" s="16" t="s">
        <v>404</v>
      </c>
      <c r="B31" s="16" t="n">
        <f aca="false">COUNTIF('Catálogo Completo'!C2:C331,A31)</f>
        <v>11</v>
      </c>
      <c r="C31" s="17" t="n">
        <f aca="false">SUMIF('Catálogo Completo'!C2:C331,A31,'Catálogo Completo'!M2:M331)</f>
        <v>61</v>
      </c>
    </row>
    <row r="32" customFormat="false" ht="15" hidden="false" customHeight="false" outlineLevel="0" collapsed="false">
      <c r="A32" s="16" t="s">
        <v>87</v>
      </c>
      <c r="B32" s="16" t="n">
        <f aca="false">COUNTIF('Catálogo Completo'!C2:C331,A32)</f>
        <v>4</v>
      </c>
      <c r="C32" s="17" t="n">
        <f aca="false">SUMIF('Catálogo Completo'!C2:C331,A32,'Catálogo Completo'!M2:M331)</f>
        <v>880</v>
      </c>
    </row>
    <row r="33" customFormat="false" ht="15" hidden="false" customHeight="false" outlineLevel="0" collapsed="false">
      <c r="A33" s="16" t="s">
        <v>376</v>
      </c>
      <c r="B33" s="16" t="n">
        <f aca="false">COUNTIF('Catálogo Completo'!C2:C331,A33)</f>
        <v>10</v>
      </c>
      <c r="C33" s="17" t="n">
        <f aca="false">SUMIF('Catálogo Completo'!C2:C331,A33,'Catálogo Completo'!M2:M331)</f>
        <v>189</v>
      </c>
    </row>
    <row r="34" customFormat="false" ht="15" hidden="false" customHeight="false" outlineLevel="0" collapsed="false">
      <c r="A34" s="16" t="s">
        <v>411</v>
      </c>
      <c r="B34" s="16" t="n">
        <f aca="false">COUNTIF('Catálogo Completo'!C2:C331,A34)</f>
        <v>4</v>
      </c>
      <c r="C34" s="17" t="n">
        <f aca="false">SUMIF('Catálogo Completo'!C2:C331,A34,'Catálogo Completo'!M2:M331)</f>
        <v>41.75</v>
      </c>
    </row>
    <row r="35" customFormat="false" ht="15" hidden="false" customHeight="false" outlineLevel="0" collapsed="false">
      <c r="A35" s="16" t="s">
        <v>1339</v>
      </c>
      <c r="B35" s="16" t="n">
        <f aca="false">COUNTIF('Catálogo Completo'!C2:C331,A35)</f>
        <v>1</v>
      </c>
      <c r="C35" s="17" t="n">
        <f aca="false">SUMIF('Catálogo Completo'!C2:C331,A35,'Catálogo Completo'!M2:M331)</f>
        <v>80</v>
      </c>
    </row>
    <row r="36" customFormat="false" ht="15" hidden="false" customHeight="false" outlineLevel="0" collapsed="false">
      <c r="A36" s="16" t="s">
        <v>1344</v>
      </c>
      <c r="B36" s="16" t="n">
        <f aca="false">COUNTIF('Catálogo Completo'!C2:C331,A36)</f>
        <v>3</v>
      </c>
      <c r="C36" s="17" t="n">
        <f aca="false">SUMIF('Catálogo Completo'!C2:C331,A36,'Catálogo Completo'!M2:M331)</f>
        <v>93</v>
      </c>
    </row>
    <row r="37" customFormat="false" ht="15" hidden="false" customHeight="false" outlineLevel="0" collapsed="false">
      <c r="A37" s="16" t="s">
        <v>1075</v>
      </c>
      <c r="B37" s="16" t="n">
        <f aca="false">COUNTIF('Catálogo Completo'!C2:C331,A37)</f>
        <v>1</v>
      </c>
      <c r="C37" s="17" t="n">
        <f aca="false">SUMIF('Catálogo Completo'!C2:C331,A37,'Catálogo Completo'!M2:M331)</f>
        <v>5</v>
      </c>
    </row>
    <row r="38" customFormat="false" ht="15" hidden="false" customHeight="false" outlineLevel="0" collapsed="false">
      <c r="A38" s="16" t="s">
        <v>796</v>
      </c>
      <c r="B38" s="16" t="n">
        <f aca="false">COUNTIF('Catálogo Completo'!C2:C331,A38)</f>
        <v>2</v>
      </c>
      <c r="C38" s="17" t="n">
        <f aca="false">SUMIF('Catálogo Completo'!C2:C331,A38,'Catálogo Completo'!M2:M331)</f>
        <v>26</v>
      </c>
    </row>
    <row r="39" customFormat="false" ht="15" hidden="false" customHeight="false" outlineLevel="0" collapsed="false">
      <c r="A39" s="16" t="s">
        <v>274</v>
      </c>
      <c r="B39" s="16" t="n">
        <f aca="false">COUNTIF('Catálogo Completo'!C2:C331,A39)</f>
        <v>2</v>
      </c>
      <c r="C39" s="17" t="n">
        <f aca="false">SUMIF('Catálogo Completo'!C2:C331,A39,'Catálogo Completo'!M2:M331)</f>
        <v>140</v>
      </c>
    </row>
    <row r="40" customFormat="false" ht="15" hidden="false" customHeight="false" outlineLevel="0" collapsed="false">
      <c r="A40" s="16" t="s">
        <v>1120</v>
      </c>
      <c r="B40" s="16" t="n">
        <f aca="false">COUNTIF('Catálogo Completo'!C2:C331,A40)</f>
        <v>1</v>
      </c>
      <c r="C40" s="17" t="n">
        <f aca="false">SUMIF('Catálogo Completo'!C2:C331,A40,'Catálogo Completo'!M2:M331)</f>
        <v>17</v>
      </c>
    </row>
    <row r="41" customFormat="false" ht="15" hidden="false" customHeight="false" outlineLevel="0" collapsed="false">
      <c r="A41" s="16" t="s">
        <v>153</v>
      </c>
      <c r="B41" s="16" t="n">
        <f aca="false">COUNTIF('Catálogo Completo'!C2:C331,A41)</f>
        <v>7</v>
      </c>
      <c r="C41" s="17" t="n">
        <f aca="false">SUMIF('Catálogo Completo'!C2:C331,A41,'Catálogo Completo'!M2:M331)</f>
        <v>95.5</v>
      </c>
    </row>
    <row r="42" customFormat="false" ht="15" hidden="false" customHeight="false" outlineLevel="0" collapsed="false">
      <c r="A42" s="16" t="s">
        <v>1357</v>
      </c>
      <c r="B42" s="16" t="n">
        <f aca="false">COUNTIF('Catálogo Completo'!C2:C331,A42)</f>
        <v>1</v>
      </c>
      <c r="C42" s="17" t="n">
        <f aca="false">SUMIF('Catálogo Completo'!C2:C331,A42,'Catálogo Completo'!M2:M331)</f>
        <v>315</v>
      </c>
    </row>
    <row r="43" customFormat="false" ht="15" hidden="false" customHeight="false" outlineLevel="0" collapsed="false">
      <c r="A43" s="16" t="s">
        <v>1367</v>
      </c>
      <c r="B43" s="16" t="n">
        <f aca="false">COUNTIF('Catálogo Completo'!C2:C331,A43)</f>
        <v>11</v>
      </c>
      <c r="C43" s="17" t="n">
        <f aca="false">SUMIF('Catálogo Completo'!C2:C331,A43,'Catálogo Completo'!M2:M331)</f>
        <v>377</v>
      </c>
    </row>
    <row r="44" customFormat="false" ht="15" hidden="false" customHeight="false" outlineLevel="0" collapsed="false">
      <c r="A44" s="16" t="s">
        <v>1272</v>
      </c>
      <c r="B44" s="16" t="n">
        <f aca="false">COUNTIF('Catálogo Completo'!C2:C331,A44)</f>
        <v>1</v>
      </c>
      <c r="C44" s="17" t="n">
        <f aca="false">SUMIF('Catálogo Completo'!C2:C331,A44,'Catálogo Completo'!M2:M331)</f>
        <v>7.5</v>
      </c>
    </row>
    <row r="45" customFormat="false" ht="15" hidden="false" customHeight="false" outlineLevel="0" collapsed="false">
      <c r="A45" s="16" t="s">
        <v>266</v>
      </c>
      <c r="B45" s="16" t="n">
        <f aca="false">COUNTIF('Catálogo Completo'!C2:C331,A45)</f>
        <v>7</v>
      </c>
      <c r="C45" s="17" t="n">
        <f aca="false">SUMIF('Catálogo Completo'!C2:C331,A45,'Catálogo Completo'!M2:M331)</f>
        <v>72.5</v>
      </c>
    </row>
    <row r="46" customFormat="false" ht="15" hidden="false" customHeight="false" outlineLevel="0" collapsed="false">
      <c r="A46" s="16" t="s">
        <v>17</v>
      </c>
      <c r="B46" s="16" t="n">
        <f aca="false">COUNTIF('Catálogo Completo'!C2:C331,A46)</f>
        <v>17</v>
      </c>
      <c r="C46" s="17" t="n">
        <f aca="false">SUMIF('Catálogo Completo'!C2:C331,A46,'Catálogo Completo'!M2:M331)</f>
        <v>5440</v>
      </c>
    </row>
    <row r="47" customFormat="false" ht="15" hidden="false" customHeight="false" outlineLevel="0" collapsed="false">
      <c r="A47" s="16" t="s">
        <v>158</v>
      </c>
      <c r="B47" s="16" t="n">
        <f aca="false">COUNTIF('Catálogo Completo'!C2:C331,A47)</f>
        <v>22</v>
      </c>
      <c r="C47" s="17" t="n">
        <f aca="false">SUMIF('Catálogo Completo'!C2:C331,A47,'Catálogo Completo'!M2:M331)</f>
        <v>280.5</v>
      </c>
    </row>
    <row r="48" customFormat="false" ht="15" hidden="false" customHeight="false" outlineLevel="0" collapsed="false">
      <c r="A48" s="16" t="s">
        <v>612</v>
      </c>
      <c r="B48" s="16" t="n">
        <f aca="false">COUNTIF('Catálogo Completo'!C2:C331,A48)</f>
        <v>3</v>
      </c>
      <c r="C48" s="17" t="n">
        <f aca="false">SUMIF('Catálogo Completo'!C2:C331,A48,'Catálogo Completo'!M2:M331)</f>
        <v>63</v>
      </c>
    </row>
    <row r="49" customFormat="false" ht="15" hidden="false" customHeight="false" outlineLevel="0" collapsed="false">
      <c r="A49" s="16" t="s">
        <v>543</v>
      </c>
      <c r="B49" s="16" t="n">
        <f aca="false">COUNTIF('Catálogo Completo'!C2:C331,A49)</f>
        <v>19</v>
      </c>
      <c r="C49" s="17" t="n">
        <f aca="false">SUMIF('Catálogo Completo'!C2:C331,A49,'Catálogo Completo'!M2:M331)</f>
        <v>860</v>
      </c>
    </row>
    <row r="50" customFormat="false" ht="15" hidden="false" customHeight="false" outlineLevel="0" collapsed="false">
      <c r="A50" s="16" t="s">
        <v>592</v>
      </c>
      <c r="B50" s="16" t="n">
        <f aca="false">COUNTIF('Catálogo Completo'!C2:C331,A50)</f>
        <v>5</v>
      </c>
      <c r="C50" s="17" t="n">
        <f aca="false">SUMIF('Catálogo Completo'!C2:C331,A50,'Catálogo Completo'!M2:M331)</f>
        <v>497.5</v>
      </c>
    </row>
    <row r="51" customFormat="false" ht="15" hidden="false" customHeight="false" outlineLevel="0" collapsed="false">
      <c r="A51" s="16" t="s">
        <v>852</v>
      </c>
      <c r="B51" s="16" t="n">
        <f aca="false">COUNTIF('Catálogo Completo'!C2:C331,A51)</f>
        <v>33</v>
      </c>
      <c r="C51" s="17" t="n">
        <f aca="false">SUMIF('Catálogo Completo'!C2:C331,A51,'Catálogo Completo'!M2:M331)</f>
        <v>1870.5</v>
      </c>
    </row>
    <row r="52" customFormat="false" ht="15" hidden="false" customHeight="false" outlineLevel="0" collapsed="false">
      <c r="A52" s="16" t="s">
        <v>97</v>
      </c>
      <c r="B52" s="16" t="n">
        <f aca="false">COUNTIF('Catálogo Completo'!C2:C331,A52)</f>
        <v>19</v>
      </c>
      <c r="C52" s="17" t="n">
        <f aca="false">SUMIF('Catálogo Completo'!C2:C331,A52,'Catálogo Completo'!M2:M331)</f>
        <v>2645</v>
      </c>
    </row>
    <row r="53" customFormat="false" ht="15" hidden="false" customHeight="false" outlineLevel="0" collapsed="false">
      <c r="A53" s="16" t="s">
        <v>718</v>
      </c>
      <c r="B53" s="16" t="n">
        <f aca="false">COUNTIF('Catálogo Completo'!C2:C331,A53)</f>
        <v>5</v>
      </c>
      <c r="C53" s="17" t="n">
        <f aca="false">SUMIF('Catálogo Completo'!C2:C331,A53,'Catálogo Completo'!M2:M331)</f>
        <v>103</v>
      </c>
    </row>
    <row r="54" customFormat="false" ht="15" hidden="false" customHeight="false" outlineLevel="0" collapsed="false">
      <c r="A54" s="16" t="s">
        <v>196</v>
      </c>
      <c r="B54" s="16" t="n">
        <f aca="false">COUNTIF('Catálogo Completo'!C2:C331,A54)</f>
        <v>5</v>
      </c>
      <c r="C54" s="17" t="n">
        <f aca="false">SUMIF('Catálogo Completo'!C2:C331,A54,'Catálogo Completo'!M2:M331)</f>
        <v>54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5" t="s">
        <v>1417</v>
      </c>
      <c r="B1" s="15" t="s">
        <v>1418</v>
      </c>
    </row>
    <row r="2" customFormat="false" ht="15" hidden="false" customHeight="false" outlineLevel="0" collapsed="false">
      <c r="A2" s="18" t="s">
        <v>1419</v>
      </c>
      <c r="B2" s="19" t="s">
        <v>1420</v>
      </c>
    </row>
    <row r="3" customFormat="false" ht="15" hidden="false" customHeight="false" outlineLevel="0" collapsed="false">
      <c r="A3" s="18" t="s">
        <v>1421</v>
      </c>
      <c r="B3" s="19" t="s">
        <v>1422</v>
      </c>
    </row>
    <row r="4" customFormat="false" ht="15" hidden="false" customHeight="false" outlineLevel="0" collapsed="false">
      <c r="A4" s="18" t="s">
        <v>1423</v>
      </c>
      <c r="B4" s="19" t="s">
        <v>1424</v>
      </c>
    </row>
    <row r="5" customFormat="false" ht="15" hidden="false" customHeight="false" outlineLevel="0" collapsed="false">
      <c r="A5" s="18" t="s">
        <v>1425</v>
      </c>
      <c r="B5" s="19" t="s">
        <v>1426</v>
      </c>
    </row>
    <row r="6" customFormat="false" ht="15" hidden="false" customHeight="false" outlineLevel="0" collapsed="false">
      <c r="A6" s="18" t="s">
        <v>1427</v>
      </c>
      <c r="B6" s="19" t="s">
        <v>1428</v>
      </c>
    </row>
    <row r="7" customFormat="false" ht="15" hidden="false" customHeight="false" outlineLevel="0" collapsed="false">
      <c r="A7" s="18" t="s">
        <v>1429</v>
      </c>
      <c r="B7" s="19" t="s">
        <v>1430</v>
      </c>
    </row>
    <row r="8" customFormat="false" ht="15" hidden="false" customHeight="false" outlineLevel="0" collapsed="false">
      <c r="A8" s="18" t="s">
        <v>1431</v>
      </c>
      <c r="B8" s="19" t="s">
        <v>1432</v>
      </c>
    </row>
    <row r="9" customFormat="false" ht="15" hidden="false" customHeight="false" outlineLevel="0" collapsed="false">
      <c r="A9" s="18" t="s">
        <v>1433</v>
      </c>
      <c r="B9" s="19" t="s">
        <v>1434</v>
      </c>
    </row>
    <row r="10" customFormat="false" ht="15" hidden="false" customHeight="false" outlineLevel="0" collapsed="false">
      <c r="A10" s="18" t="s">
        <v>1435</v>
      </c>
      <c r="B10" s="19" t="s">
        <v>1436</v>
      </c>
    </row>
    <row r="11" customFormat="false" ht="15" hidden="false" customHeight="false" outlineLevel="0" collapsed="false">
      <c r="A11" s="18" t="s">
        <v>1437</v>
      </c>
      <c r="B11" s="19" t="s">
        <v>1438</v>
      </c>
    </row>
    <row r="12" customFormat="false" ht="15" hidden="false" customHeight="false" outlineLevel="0" collapsed="false">
      <c r="A12" s="18" t="s">
        <v>1439</v>
      </c>
      <c r="B12" s="19" t="s">
        <v>1440</v>
      </c>
    </row>
    <row r="13" customFormat="false" ht="15" hidden="false" customHeight="false" outlineLevel="0" collapsed="false">
      <c r="A13" s="18" t="s">
        <v>1441</v>
      </c>
      <c r="B13" s="19" t="s">
        <v>1442</v>
      </c>
    </row>
    <row r="14" customFormat="false" ht="15" hidden="false" customHeight="false" outlineLevel="0" collapsed="false">
      <c r="A14" s="18" t="s">
        <v>1443</v>
      </c>
      <c r="B14" s="19" t="s">
        <v>1444</v>
      </c>
    </row>
    <row r="15" customFormat="false" ht="15" hidden="false" customHeight="false" outlineLevel="0" collapsed="false">
      <c r="A15" s="18" t="s">
        <v>1445</v>
      </c>
      <c r="B15" s="19" t="s">
        <v>1446</v>
      </c>
    </row>
    <row r="16" customFormat="false" ht="15" hidden="false" customHeight="false" outlineLevel="0" collapsed="false">
      <c r="A16" s="18" t="s">
        <v>1447</v>
      </c>
      <c r="B16" s="19" t="s">
        <v>1448</v>
      </c>
    </row>
    <row r="17" customFormat="false" ht="15" hidden="false" customHeight="false" outlineLevel="0" collapsed="false">
      <c r="A17" s="18" t="s">
        <v>1449</v>
      </c>
      <c r="B17" s="19" t="s">
        <v>1450</v>
      </c>
    </row>
    <row r="18" customFormat="false" ht="15" hidden="false" customHeight="false" outlineLevel="0" collapsed="false">
      <c r="A18" s="18" t="s">
        <v>1451</v>
      </c>
      <c r="B18" s="19" t="s">
        <v>1452</v>
      </c>
    </row>
    <row r="19" customFormat="false" ht="15" hidden="false" customHeight="false" outlineLevel="0" collapsed="false">
      <c r="A19" s="18" t="s">
        <v>1453</v>
      </c>
      <c r="B19" s="19" t="s">
        <v>1454</v>
      </c>
    </row>
    <row r="20" customFormat="false" ht="15" hidden="false" customHeight="false" outlineLevel="0" collapsed="false">
      <c r="A20" s="18" t="s">
        <v>1455</v>
      </c>
      <c r="B20" s="19" t="s">
        <v>1456</v>
      </c>
    </row>
    <row r="21" customFormat="false" ht="15" hidden="false" customHeight="false" outlineLevel="0" collapsed="false">
      <c r="A21" s="18" t="s">
        <v>1457</v>
      </c>
      <c r="B21" s="19" t="s">
        <v>1458</v>
      </c>
    </row>
    <row r="22" customFormat="false" ht="15" hidden="false" customHeight="false" outlineLevel="0" collapsed="false">
      <c r="A22" s="18" t="s">
        <v>1459</v>
      </c>
      <c r="B22" s="19" t="s">
        <v>1460</v>
      </c>
    </row>
    <row r="23" customFormat="false" ht="15" hidden="false" customHeight="false" outlineLevel="0" collapsed="false">
      <c r="A23" s="18" t="s">
        <v>1461</v>
      </c>
      <c r="B23" s="19" t="s">
        <v>1462</v>
      </c>
    </row>
    <row r="24" customFormat="false" ht="15" hidden="false" customHeight="false" outlineLevel="0" collapsed="false">
      <c r="A24" s="18" t="s">
        <v>1463</v>
      </c>
      <c r="B24" s="19" t="s">
        <v>1464</v>
      </c>
    </row>
    <row r="25" customFormat="false" ht="15" hidden="false" customHeight="false" outlineLevel="0" collapsed="false">
      <c r="A25" s="18" t="s">
        <v>1465</v>
      </c>
      <c r="B25" s="19" t="s">
        <v>1466</v>
      </c>
    </row>
    <row r="26" customFormat="false" ht="15" hidden="false" customHeight="false" outlineLevel="0" collapsed="false">
      <c r="A26" s="18" t="s">
        <v>1467</v>
      </c>
      <c r="B26" s="19" t="s">
        <v>1468</v>
      </c>
    </row>
    <row r="27" customFormat="false" ht="15" hidden="false" customHeight="false" outlineLevel="0" collapsed="false">
      <c r="A27" s="18" t="s">
        <v>1469</v>
      </c>
      <c r="B27" s="19" t="s">
        <v>1470</v>
      </c>
    </row>
    <row r="28" customFormat="false" ht="15" hidden="false" customHeight="false" outlineLevel="0" collapsed="false">
      <c r="A28" s="18" t="s">
        <v>1471</v>
      </c>
      <c r="B28" s="19" t="s">
        <v>1472</v>
      </c>
    </row>
    <row r="29" customFormat="false" ht="15" hidden="false" customHeight="false" outlineLevel="0" collapsed="false">
      <c r="A29" s="18" t="s">
        <v>1473</v>
      </c>
      <c r="B29" s="19" t="s">
        <v>1474</v>
      </c>
    </row>
    <row r="30" customFormat="false" ht="15" hidden="false" customHeight="false" outlineLevel="0" collapsed="false">
      <c r="A30" s="18" t="s">
        <v>1475</v>
      </c>
      <c r="B30" s="19" t="s">
        <v>1476</v>
      </c>
    </row>
    <row r="31" customFormat="false" ht="15" hidden="false" customHeight="false" outlineLevel="0" collapsed="false">
      <c r="A31" s="18" t="s">
        <v>1276</v>
      </c>
      <c r="B31" s="19" t="s">
        <v>1477</v>
      </c>
    </row>
    <row r="32" customFormat="false" ht="15" hidden="false" customHeight="false" outlineLevel="0" collapsed="false">
      <c r="A32" s="18" t="s">
        <v>405</v>
      </c>
      <c r="B32" s="19" t="s">
        <v>1478</v>
      </c>
    </row>
    <row r="33" customFormat="false" ht="15" hidden="false" customHeight="false" outlineLevel="0" collapsed="false">
      <c r="A33" s="18" t="s">
        <v>1286</v>
      </c>
      <c r="B33" s="19" t="s">
        <v>1479</v>
      </c>
    </row>
    <row r="34" customFormat="false" ht="15" hidden="false" customHeight="false" outlineLevel="0" collapsed="false">
      <c r="A34" s="18" t="s">
        <v>1480</v>
      </c>
      <c r="B34" s="19" t="s">
        <v>1481</v>
      </c>
    </row>
    <row r="35" customFormat="false" ht="15" hidden="false" customHeight="false" outlineLevel="0" collapsed="false">
      <c r="A35" s="18" t="s">
        <v>1482</v>
      </c>
      <c r="B35" s="19" t="s">
        <v>1483</v>
      </c>
    </row>
    <row r="36" customFormat="false" ht="15" hidden="false" customHeight="false" outlineLevel="0" collapsed="false">
      <c r="A36" s="18" t="s">
        <v>1484</v>
      </c>
      <c r="B36" s="19" t="s">
        <v>1485</v>
      </c>
    </row>
    <row r="37" customFormat="false" ht="15" hidden="false" customHeight="false" outlineLevel="0" collapsed="false">
      <c r="A37" s="18" t="s">
        <v>1486</v>
      </c>
      <c r="B37" s="19" t="s">
        <v>1487</v>
      </c>
    </row>
    <row r="38" customFormat="false" ht="15" hidden="false" customHeight="false" outlineLevel="0" collapsed="false">
      <c r="A38" s="18" t="s">
        <v>1488</v>
      </c>
      <c r="B38" s="19" t="s">
        <v>1489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2026-05-11T14:45:33Z</dcterms:created>
  <dc:creator>openpyxl</dc:creator>
  <dc:description/>
  <dc:language>en-US</dc:language>
  <cp:lastModifiedBy/>
  <dcterms:modified xsi:type="dcterms:W3CDTF">2026-05-11T14:45:34Z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